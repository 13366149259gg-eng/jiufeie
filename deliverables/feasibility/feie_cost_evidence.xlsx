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核算说明" sheetId="1" state="visible" r:id="rId3"/>
    <sheet name="已知量价与计算" sheetId="2" state="visible" r:id="rId4"/>
    <sheet name="主体量价待核" sheetId="3" state="visible" r:id="rId5"/>
    <sheet name="全部依据" sheetId="4" state="visible" r:id="rId6"/>
    <sheet name="实施节点" sheetId="5" state="visible" r:id="rId7"/>
  </sheets>
  <definedNames>
    <definedName function="false" hidden="true" localSheetId="2" name="_xlnm._FilterDatabase" vbProcedure="false">主体量价待核!$A$1:$F$15</definedName>
    <definedName function="false" hidden="true" localSheetId="3" name="_xlnm._FilterDatabase" vbProcedure="false">全部依据!$A$1:$G$21</definedName>
    <definedName function="false" hidden="true" localSheetId="4" name="_xlnm._FilterDatabase" vbProcedure="false">实施节点!$A$1:$D$7</definedName>
    <definedName function="false" hidden="true" localSheetId="1" name="_xlnm._FilterDatabase" vbProcedure="false">已知量价与计算!$A$1:$E$20</definedName>
    <definedName function="false" hidden="true" localSheetId="0" name="_xlnm._FilterDatabase" vbProcedure="false">核算说明!$A$1:$B$10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<sst xmlns="http://schemas.openxmlformats.org/spreadsheetml/2006/main" count="324" uniqueCount="291">
  <si>
    <t xml:space="preserve">事项</t>
  </si>
  <si>
    <t xml:space="preserve">内容</t>
  </si>
  <si>
    <t xml:space="preserve">编制基准日</t>
  </si>
  <si>
    <t xml:space="preserve">2026年10月11日；与Word、PPT同步</t>
  </si>
  <si>
    <t xml:space="preserve">资料范围</t>
  </si>
  <si>
    <t xml:space="preserve">20项：18项官方文件或案例，2项场地基本资料</t>
  </si>
  <si>
    <t xml:space="preserve">既有量价</t>
  </si>
  <si>
    <t xml:space="preserve">B01平均170吨/日和115元/吨；仅折算，不是开挖综合单价</t>
  </si>
  <si>
    <t xml:space="preserve">合同服务边界</t>
  </si>
  <si>
    <t xml:space="preserve">浓缩液、监测和维护是否已包含需核原件，避免重复计价</t>
  </si>
  <si>
    <t xml:space="preserve">未定成本</t>
  </si>
  <si>
    <t xml:space="preserve">主体工作包的量价空白不是零；总投资显示待核定</t>
  </si>
  <si>
    <t xml:space="preserve">理论上限</t>
  </si>
  <si>
    <t xml:space="preserve">10/20年无折现、全额现有费用消失、无新增维护；不代表收益预测</t>
  </si>
  <si>
    <t xml:space="preserve">敏感度</t>
  </si>
  <si>
    <t xml:space="preserve">10元/m³是设定变化步长，不是市场价格；仅适用于按体积计价项</t>
  </si>
  <si>
    <t xml:space="preserve">财务收入</t>
  </si>
  <si>
    <t xml:space="preserve">未经质量、合同和批准证实的材料、土地、产业、碳收益不列已确认收入</t>
  </si>
  <si>
    <t xml:space="preserve">完整方案</t>
  </si>
  <si>
    <t xml:space="preserve">详细措施及参数适用边界见Word第5章；实施顺序及责任见第7章</t>
  </si>
  <si>
    <t xml:space="preserve">项目</t>
  </si>
  <si>
    <t xml:space="preserve">输入/公式</t>
  </si>
  <si>
    <t xml:space="preserve">单位</t>
  </si>
  <si>
    <t xml:space="preserve">数据及用途边界</t>
  </si>
  <si>
    <t xml:space="preserve">依据</t>
  </si>
  <si>
    <t xml:space="preserve">渗滤液平均量</t>
  </si>
  <si>
    <t xml:space="preserve">吨/日</t>
  </si>
  <si>
    <t xml:space="preserve">场地工作资料平均负荷，需更新实测</t>
  </si>
  <si>
    <t xml:space="preserve">B01</t>
  </si>
  <si>
    <t xml:space="preserve">既有服务价</t>
  </si>
  <si>
    <t xml:space="preserve">元/吨</t>
  </si>
  <si>
    <t xml:space="preserve">服务范围先核原合同</t>
  </si>
  <si>
    <t xml:space="preserve">膜浓缩液平均量</t>
  </si>
  <si>
    <t xml:space="preserve">单列，不与原水量叠加</t>
  </si>
  <si>
    <t xml:space="preserve">年度折算天数</t>
  </si>
  <si>
    <t xml:space="preserve">天</t>
  </si>
  <si>
    <t xml:space="preserve">乙方365天折算</t>
  </si>
  <si>
    <t xml:space="preserve">计算</t>
  </si>
  <si>
    <t xml:space="preserve">报告日期</t>
  </si>
  <si>
    <t xml:space="preserve">2026-10-11</t>
  </si>
  <si>
    <t xml:space="preserve">日期</t>
  </si>
  <si>
    <t xml:space="preserve">计算起点</t>
  </si>
  <si>
    <t xml:space="preserve">报告</t>
  </si>
  <si>
    <t xml:space="preserve">合同记载到期</t>
  </si>
  <si>
    <t xml:space="preserve">2026-12-31</t>
  </si>
  <si>
    <t xml:space="preserve">原件待核，衔接提前完成</t>
  </si>
  <si>
    <t xml:space="preserve">日期差</t>
  </si>
  <si>
    <t xml:space="preserve">非剩余可结算天数</t>
  </si>
  <si>
    <t xml:space="preserve">日期计算</t>
  </si>
  <si>
    <t xml:space="preserve">年度处理量</t>
  </si>
  <si>
    <t xml:space="preserve">吨/年</t>
  </si>
  <si>
    <t xml:space="preserve">非实测年度总量</t>
  </si>
  <si>
    <t xml:space="preserve">B01＋计算</t>
  </si>
  <si>
    <t xml:space="preserve">年度服务费</t>
  </si>
  <si>
    <t xml:space="preserve">万元/年</t>
  </si>
  <si>
    <t xml:space="preserve">非决算及开挖单价</t>
  </si>
  <si>
    <t xml:space="preserve">81天量折算</t>
  </si>
  <si>
    <t xml:space="preserve">吨</t>
  </si>
  <si>
    <t xml:space="preserve">按资料平均量</t>
  </si>
  <si>
    <t xml:space="preserve">81天费用</t>
  </si>
  <si>
    <t xml:space="preserve">万元</t>
  </si>
  <si>
    <t xml:space="preserve">结算按合同及计量</t>
  </si>
  <si>
    <t xml:space="preserve">年度浓液量级</t>
  </si>
  <si>
    <t xml:space="preserve">浓液为独立统计</t>
  </si>
  <si>
    <t xml:space="preserve">10年理论最高避费</t>
  </si>
  <si>
    <t xml:space="preserve">无折现理想上限，非收益预测</t>
  </si>
  <si>
    <t xml:space="preserve">乙方窗口设置</t>
  </si>
  <si>
    <t xml:space="preserve">20年理论最高避费</t>
  </si>
  <si>
    <t xml:space="preserve">实际维护不终止则低于上限</t>
  </si>
  <si>
    <t xml:space="preserve">体积口径一</t>
  </si>
  <si>
    <t xml:space="preserve">m³</t>
  </si>
  <si>
    <t xml:space="preserve">未选作投资工程量</t>
  </si>
  <si>
    <t xml:space="preserve">B02</t>
  </si>
  <si>
    <t xml:space="preserve">体积口径二</t>
  </si>
  <si>
    <t xml:space="preserve">尚需统一测绘</t>
  </si>
  <si>
    <t xml:space="preserve">单价变化步长</t>
  </si>
  <si>
    <t xml:space="preserve">元/m³</t>
  </si>
  <si>
    <t xml:space="preserve">设定敏感度，不是报价</t>
  </si>
  <si>
    <t xml:space="preserve">乙方设定</t>
  </si>
  <si>
    <t xml:space="preserve">体积一变化费用</t>
  </si>
  <si>
    <t xml:space="preserve">仅体积计价工作项</t>
  </si>
  <si>
    <t xml:space="preserve">算术计算</t>
  </si>
  <si>
    <t xml:space="preserve">体积二变化费用</t>
  </si>
  <si>
    <t xml:space="preserve">不用于吨计价工作项</t>
  </si>
  <si>
    <t xml:space="preserve">工作包</t>
  </si>
  <si>
    <t xml:space="preserve">拟计量单位</t>
  </si>
  <si>
    <t xml:space="preserve">工程量</t>
  </si>
  <si>
    <t xml:space="preserve">含税单价或专项费用</t>
  </si>
  <si>
    <t xml:space="preserve">计算金额元</t>
  </si>
  <si>
    <t xml:space="preserve">证据/服务边界</t>
  </si>
  <si>
    <t xml:space="preserve">A 调查测绘评估</t>
  </si>
  <si>
    <t xml:space="preserve">项/孔米/批次</t>
  </si>
  <si>
    <t xml:space="preserve">批准调查及检测清单</t>
  </si>
  <si>
    <t xml:space="preserve">B 设计手续专项</t>
  </si>
  <si>
    <t xml:space="preserve">阶段/项</t>
  </si>
  <si>
    <t xml:space="preserve">委托范围及适用计价依据</t>
  </si>
  <si>
    <t xml:space="preserve">C 临建与环保设施</t>
  </si>
  <si>
    <t xml:space="preserve">m²/m/台</t>
  </si>
  <si>
    <t xml:space="preserve">设计、设备报价、试运行</t>
  </si>
  <si>
    <t xml:space="preserve">D 堆体预处理</t>
  </si>
  <si>
    <t xml:space="preserve">井米/吨/期间</t>
  </si>
  <si>
    <t xml:space="preserve">液位气体及共用设施费用</t>
  </si>
  <si>
    <t xml:space="preserve">E 开挖分选</t>
  </si>
  <si>
    <t xml:space="preserve">m³/吨/台班</t>
  </si>
  <si>
    <t xml:space="preserve">测绘、示范、统一湿口径</t>
  </si>
  <si>
    <t xml:space="preserve">F 可燃物</t>
  </si>
  <si>
    <t xml:space="preserve">吨/吨公里</t>
  </si>
  <si>
    <t xml:space="preserve">批次质量、接收范围日量报价</t>
  </si>
  <si>
    <t xml:space="preserve">G 金属惰性物</t>
  </si>
  <si>
    <t xml:space="preserve">合法质量、去向和回收合同</t>
  </si>
  <si>
    <t xml:space="preserve">H 筛下细料</t>
  </si>
  <si>
    <t xml:space="preserve">湿吨或干吨</t>
  </si>
  <si>
    <t xml:space="preserve">属性、用途、真实利用或处置</t>
  </si>
  <si>
    <t xml:space="preserve">I 异常危险废物</t>
  </si>
  <si>
    <t xml:space="preserve">批次/吨</t>
  </si>
  <si>
    <t xml:space="preserve">隔离鉴别、属性、接收资格</t>
  </si>
  <si>
    <t xml:space="preserve">J 原水及浓缩液</t>
  </si>
  <si>
    <t xml:space="preserve">吨或m³</t>
  </si>
  <si>
    <t xml:space="preserve">水质负荷、独立计量和服务边界</t>
  </si>
  <si>
    <t xml:space="preserve">K 场底地下水</t>
  </si>
  <si>
    <t xml:space="preserve">m³/吨/期间</t>
  </si>
  <si>
    <t xml:space="preserve">调查风险和修复设计</t>
  </si>
  <si>
    <t xml:space="preserve">L 监测评估后期</t>
  </si>
  <si>
    <t xml:space="preserve">批次/项/期间</t>
  </si>
  <si>
    <t xml:space="preserve">适用标准及维护终止条件</t>
  </si>
  <si>
    <t xml:space="preserve">M 其他预备费</t>
  </si>
  <si>
    <t xml:space="preserve">依法核定项</t>
  </si>
  <si>
    <t xml:space="preserve">按适用规定，非任意百分比</t>
  </si>
  <si>
    <t xml:space="preserve">总投资</t>
  </si>
  <si>
    <t xml:space="preserve">元</t>
  </si>
  <si>
    <t xml:space="preserve">必要项缺量价时不作为零元汇总</t>
  </si>
  <si>
    <t xml:space="preserve">编号</t>
  </si>
  <si>
    <t xml:space="preserve">文件或案例</t>
  </si>
  <si>
    <t xml:space="preserve">主体</t>
  </si>
  <si>
    <t xml:space="preserve">时间</t>
  </si>
  <si>
    <t xml:space="preserve">定位</t>
  </si>
  <si>
    <t xml:space="preserve">状态及边界</t>
  </si>
  <si>
    <t xml:space="preserve">官方原文</t>
  </si>
  <si>
    <t xml:space="preserve">《旧飞鹅垃圾填埋场场地整治情况》</t>
  </si>
  <si>
    <t xml:space="preserve">用户提供场地工作资料</t>
  </si>
  <si>
    <t xml:space="preserve">数据截至2026-04-30</t>
  </si>
  <si>
    <t xml:space="preserve">附件第1—6页；历史封场、处理站规模、运维负荷与合同期限</t>
  </si>
  <si>
    <t xml:space="preserve">场地基础资料，原始合同、批复和监测报告待核对</t>
  </si>
  <si>
    <t xml:space="preserve">《大岭山旧飞鹅垃圾填埋场背景资料》</t>
  </si>
  <si>
    <t xml:space="preserve">用户提供场地背景资料</t>
  </si>
  <si>
    <t xml:space="preserve">附件未明确统一数据基准日</t>
  </si>
  <si>
    <t xml:space="preserve">存量垃圾170万m³，与B01的250万m³口径存在差异</t>
  </si>
  <si>
    <t xml:space="preserve">仅用于识别场地基础数据差异</t>
  </si>
  <si>
    <t xml:space="preserve">S01</t>
  </si>
  <si>
    <t xml:space="preserve">中华人民共和国生态环境法典</t>
  </si>
  <si>
    <t xml:space="preserve">全国人民代表大会</t>
  </si>
  <si>
    <t xml:space="preserve">2026-03-12通过；2026-08-15施行</t>
  </si>
  <si>
    <t xml:space="preserve">第511—513条、第1242条；环境影响评价、土壤污染风险管控和修复相关章节</t>
  </si>
  <si>
    <t xml:space="preserve">现行法律</t>
  </si>
  <si>
    <t xml:space="preserve">https://www.mee.gov.cn/ywgz/fgbz/fl/202603/t20260313_1146496.shtml</t>
  </si>
  <si>
    <t xml:space="preserve">S02</t>
  </si>
  <si>
    <t xml:space="preserve">生活垃圾填埋场污染控制标准（GB 16889—2024）</t>
  </si>
  <si>
    <t xml:space="preserve">生态环境部、国家市场监督管理总局</t>
  </si>
  <si>
    <t xml:space="preserve">2024-09-01实施</t>
  </si>
  <si>
    <t xml:space="preserve">7.8—7.10、8.7—8.9、9.2</t>
  </si>
  <si>
    <t xml:space="preserve">现行强制性国家标准</t>
  </si>
  <si>
    <t xml:space="preserve">https://www.mee.gov.cn/ywgz/fgbz/bz/bzwb/gthw/gtfwwrkzbz/202408/t20240809_1083681.shtml</t>
  </si>
  <si>
    <t xml:space="preserve">S03</t>
  </si>
  <si>
    <t xml:space="preserve">生活垃圾填埋场开挖治理污染防治技术指南（征求意见稿）及编制说明</t>
  </si>
  <si>
    <t xml:space="preserve">生态环境部</t>
  </si>
  <si>
    <t xml:space="preserve">2025-12-26公开征求意见</t>
  </si>
  <si>
    <t xml:space="preserve">4—8章；6.2.1、6.2.6、6.3.1、6.3.5、6.4.3、7.2—7.4</t>
  </si>
  <si>
    <t xml:space="preserve">检索取得版本为征求意见稿，作为技术参考</t>
  </si>
  <si>
    <t xml:space="preserve">https://www.mee.gov.cn/xxgk2018/xxgk/xxgk06/202512/t20251226_1139029.html</t>
  </si>
  <si>
    <t xml:space="preserve">S04</t>
  </si>
  <si>
    <t xml:space="preserve">国务院关于印发《固体废物综合治理行动计划》的通知（国发〔2025〕14号）</t>
  </si>
  <si>
    <t xml:space="preserve">国务院</t>
  </si>
  <si>
    <t xml:space="preserve">2025-12-27印发</t>
  </si>
  <si>
    <t xml:space="preserve">（十三）、（二十三）、（二十五）；一场一策与停用填埋场封场治理</t>
  </si>
  <si>
    <t xml:space="preserve">国家政策文件；2027年节点不等于全量开挖要求</t>
  </si>
  <si>
    <t xml:space="preserve">https://www.mee.gov.cn/zcwj/gwywj/202601/t20260105_1139840.shtml</t>
  </si>
  <si>
    <t xml:space="preserve">S05</t>
  </si>
  <si>
    <t xml:space="preserve">固体废物污染防治“十五五”规划</t>
  </si>
  <si>
    <t xml:space="preserve">生态环境部等六部门</t>
  </si>
  <si>
    <t xml:space="preserve">2026-07-08印发</t>
  </si>
  <si>
    <t xml:space="preserve">二（四）；生活垃圾填埋场隐患台账、高风险综合治理、积存渗滤液与渗漏治理</t>
  </si>
  <si>
    <t xml:space="preserve">国家专项规划</t>
  </si>
  <si>
    <t xml:space="preserve">https://www.mee.gov.cn/xxgk2018/xxgk/xxgk03/202607/t20260714_1161736.html</t>
  </si>
  <si>
    <t xml:space="preserve">S06</t>
  </si>
  <si>
    <t xml:space="preserve">关于做好污染地块环境修复与开发建设衔接的指导意见</t>
  </si>
  <si>
    <t xml:space="preserve">生态环境部、自然资源部、住房城乡建设部</t>
  </si>
  <si>
    <t xml:space="preserve">2026-01-16印发</t>
  </si>
  <si>
    <t xml:space="preserve">二（一）（二）、三（四）（五）、四（六）（七）</t>
  </si>
  <si>
    <t xml:space="preserve">环境修复与开发建设程序衔接指导文件</t>
  </si>
  <si>
    <t xml:space="preserve">https://www.mee.gov.cn/xxgk2018/xxgk/xxgk03/202601/t20260121_1142344.html</t>
  </si>
  <si>
    <t xml:space="preserve">S07</t>
  </si>
  <si>
    <t xml:space="preserve">地下水管理条例（2026年修订）</t>
  </si>
  <si>
    <t xml:space="preserve">2026-08-08修订；2026-10-09官网发布</t>
  </si>
  <si>
    <t xml:space="preserve">第40、41、45条；防渗漏、监测井与风险评估</t>
  </si>
  <si>
    <t xml:space="preserve">现行行政法规</t>
  </si>
  <si>
    <t xml:space="preserve">https://www.mee.gov.cn/zcwj/gwywj/202610/t20261009_1175922.shtml</t>
  </si>
  <si>
    <t xml:space="preserve">S08</t>
  </si>
  <si>
    <t xml:space="preserve">城镇排水与污水处理条例（2026年修订）</t>
  </si>
  <si>
    <t xml:space="preserve">排水许可、排水水质及接管监管相关条款</t>
  </si>
  <si>
    <t xml:space="preserve">https://www.mee.gov.cn/zcwj/gwywj/202610/t20261009_1175944.shtml</t>
  </si>
  <si>
    <t xml:space="preserve">S09</t>
  </si>
  <si>
    <t xml:space="preserve">固体废物鉴别标准 通则（GB 34330—2025）</t>
  </si>
  <si>
    <t xml:space="preserve">2026-03-01实施</t>
  </si>
  <si>
    <t xml:space="preserve">第6、7章、8.1、8.4；附录A.3 b）2）；膜浓缩液及利用产物鉴别</t>
  </si>
  <si>
    <t xml:space="preserve">现行强制性国家标准；替代2017版</t>
  </si>
  <si>
    <t xml:space="preserve">https://www.mee.gov.cn/ywgz/fgbz/bz/bzwb/gthw/gtfwwrkzbz/202512/t20251212_1137618.shtml</t>
  </si>
  <si>
    <t xml:space="preserve">S10</t>
  </si>
  <si>
    <t xml:space="preserve">建筑施工噪声排放标准（GB 12523—2025）</t>
  </si>
  <si>
    <t xml:space="preserve">2026-01-01实施</t>
  </si>
  <si>
    <t xml:space="preserve">4.1—4.4、表1；昼70、夜55 dB(A)，特殊测点评价按条款</t>
  </si>
  <si>
    <t xml:space="preserve">现行强制性国家标准；替代2011版</t>
  </si>
  <si>
    <t xml:space="preserve">https://www.mee.gov.cn/ywgz/fgbz/bz/bzwb/wlhj/hjzspfbz/202512/t20251211_1137517.shtml</t>
  </si>
  <si>
    <t xml:space="preserve">S11</t>
  </si>
  <si>
    <t xml:space="preserve">土壤环境质量 建设用地土壤污染风险管控标准（试行）（GB 36600—2018）</t>
  </si>
  <si>
    <t xml:space="preserve">2018-08-01实施</t>
  </si>
  <si>
    <t xml:space="preserve">建设用地土壤风险筛选与管制；不等同固废产品合规判定</t>
  </si>
  <si>
    <t xml:space="preserve">建设用地土壤风险管控国家标准</t>
  </si>
  <si>
    <t xml:space="preserve">https://www.mee.gov.cn/ywgz/fgbz/bz/bzwb/trhj/201807/t20180703_446027.shtml</t>
  </si>
  <si>
    <t xml:space="preserve">S12</t>
  </si>
  <si>
    <t xml:space="preserve">关于发布《建设用地土壤污染状况调查技术导则》等5项国家环境保护标准的公告</t>
  </si>
  <si>
    <t xml:space="preserve">2019-12-05发布实施</t>
  </si>
  <si>
    <t xml:space="preserve">HJ 25.1—2019、HJ 25.2—2019、HJ 25.3—2019、HJ 25.4—2019；公告另含HJ 682—2019</t>
  </si>
  <si>
    <t xml:space="preserve">调查、风险评估、修复及监测技术标准</t>
  </si>
  <si>
    <t xml:space="preserve">https://www.mee.gov.cn/xxgk2018/xxgk/xxgk01/201912/t20191209_748356.html</t>
  </si>
  <si>
    <t xml:space="preserve">S13</t>
  </si>
  <si>
    <t xml:space="preserve">污染地块风险管控与土壤修复效果评估技术导则（HJ 25.5—2018）</t>
  </si>
  <si>
    <t xml:space="preserve">2018-12-29实施</t>
  </si>
  <si>
    <t xml:space="preserve">适用范围；污染地块风险管控与修复效果评估</t>
  </si>
  <si>
    <t xml:space="preserve">技术标准</t>
  </si>
  <si>
    <t xml:space="preserve">https://www.mee.gov.cn/ywgz/fgbz/bz/bzwb/trhj/201901/t20190107_688646.shtml</t>
  </si>
  <si>
    <t xml:space="preserve">C01</t>
  </si>
  <si>
    <t xml:space="preserve">深圳市下坪环境园调研组赴海南、江西已封场简易填埋场调研学习</t>
  </si>
  <si>
    <t xml:space="preserve">深圳市城市管理和综合执法局</t>
  </si>
  <si>
    <t xml:space="preserve">2023-05-24发布</t>
  </si>
  <si>
    <t xml:space="preserve">三亚、海口颜春岭、江西吉安泰和；实地考察开挖作业现场、筛分处置流程和工期管理</t>
  </si>
  <si>
    <t xml:space="preserve">官方现场调研记录；未公布投资、工程量、完成率或收益</t>
  </si>
  <si>
    <t xml:space="preserve">https://cgj.sz.gov.cn/zwgk/gzdt/content/post_10610768.html</t>
  </si>
  <si>
    <t xml:space="preserve">C02</t>
  </si>
  <si>
    <t xml:space="preserve">北京华源惠众环保科技有限公司（环保设施向公众开放资料）</t>
  </si>
  <si>
    <t xml:space="preserve">生态环境部公开平台</t>
  </si>
  <si>
    <t xml:space="preserve">2021-03-09发布</t>
  </si>
  <si>
    <t xml:space="preserve">阿苏卫园区陈腐垃圾筛分3000 t/d、焚烧3000 t/d、渗滤液850 t/d</t>
  </si>
  <si>
    <t xml:space="preserve">设施设计配置；不代表实际处理量或完成量</t>
  </si>
  <si>
    <t xml:space="preserve">https://www.mee.gov.cn/home/ztbd/rdzl/sskf/kfss/bjs/dsipbj/202103/t20210309_823930.shtml</t>
  </si>
  <si>
    <t xml:space="preserve">C03</t>
  </si>
  <si>
    <t xml:space="preserve">广东省住房和城乡建设厅科技创新计划项目《垃圾填埋场渗滤液膜浓液处理技术研究》顺利通过验收</t>
  </si>
  <si>
    <t xml:space="preserve">2026-03-19发布</t>
  </si>
  <si>
    <t xml:space="preserve">2026-03-12科研验收；高效物化沉淀+强化生化处理+PS高级氧化组合中试</t>
  </si>
  <si>
    <t xml:space="preserve">科研中试通过验收；不是全规模工程绩效或报价</t>
  </si>
  <si>
    <t xml:space="preserve">https://cgj.sz.gov.cn/zwgk/gzdt/content/post_12691232.html</t>
  </si>
  <si>
    <t xml:space="preserve">C04</t>
  </si>
  <si>
    <t xml:space="preserve">开展鸭湖填埋场地下水监测检查及地方规范宣贯的工作信息</t>
  </si>
  <si>
    <t xml:space="preserve">2024-07-29发布</t>
  </si>
  <si>
    <t xml:space="preserve">深圳《已封场生活垃圾填埋场维护规范》《生活垃圾填埋场搬迁技术规范》2024-07-01生效</t>
  </si>
  <si>
    <t xml:space="preserve">用于说明地方监管实践；未引用未取得全文的具体参数</t>
  </si>
  <si>
    <t xml:space="preserve">https://cgj.sz.gov.cn/zwgk/gzdt/content/post_11472014.html</t>
  </si>
  <si>
    <t xml:space="preserve">C05</t>
  </si>
  <si>
    <t xml:space="preserve">辽宁省营口市生活垃圾污染问题整改不力 浮于表面</t>
  </si>
  <si>
    <t xml:space="preserve">生态环境部中央生态环境保护督察公开信息</t>
  </si>
  <si>
    <t xml:space="preserve">2019-05-15发布</t>
  </si>
  <si>
    <t xml:space="preserve">存在问题：最终处置出口不足、筛分发酵设施不能正常运行、垃圾多处周转</t>
  </si>
  <si>
    <t xml:space="preserve">监管反面案例；不属于成功竣工或成本标杆，避免异地迁移代替最终治理</t>
  </si>
  <si>
    <t xml:space="preserve">https://www.mee.gov.cn/xxgk2018/xxgk/xxgk15/201905/t20190515_703047.html</t>
  </si>
  <si>
    <t xml:space="preserve">阶段</t>
  </si>
  <si>
    <t xml:space="preserve">建议日期</t>
  </si>
  <si>
    <t xml:space="preserve">任务与成果</t>
  </si>
  <si>
    <t xml:space="preserve">进入条件</t>
  </si>
  <si>
    <t xml:space="preserve">0—30天</t>
  </si>
  <si>
    <t xml:space="preserve">2026-10-11—11-10</t>
  </si>
  <si>
    <t xml:space="preserve">运维接收衔接、阶段风险诊断、调档测绘</t>
  </si>
  <si>
    <t xml:space="preserve">持续运行；异常先控制</t>
  </si>
  <si>
    <t xml:space="preserve">30—90天</t>
  </si>
  <si>
    <t xml:space="preserve">2026-11-10—2027-01-09</t>
  </si>
  <si>
    <t xml:space="preserve">调查、体积组分、水质、接收日量与报价</t>
  </si>
  <si>
    <t xml:space="preserve">季节和完整调查按需继续</t>
  </si>
  <si>
    <t xml:space="preserve">90—180天</t>
  </si>
  <si>
    <t xml:space="preserve">2027-01-09—04-09</t>
  </si>
  <si>
    <t xml:space="preserve">程序具备后示范、设计概算与资金审批</t>
  </si>
  <si>
    <t xml:space="preserve">安全环保及末端资金满足</t>
  </si>
  <si>
    <t xml:space="preserve">合同节点</t>
  </si>
  <si>
    <t xml:space="preserve">2026-12-31前完成衔接</t>
  </si>
  <si>
    <t xml:space="preserve">不能等90天计划结束再落实运维</t>
  </si>
  <si>
    <t xml:space="preserve">核原合同及交接</t>
  </si>
  <si>
    <t xml:space="preserve">规模工程</t>
  </si>
  <si>
    <t xml:space="preserve">批准后按实测量与瓶颈持续能力测算</t>
  </si>
  <si>
    <t xml:space="preserve">先控制设施，再分区开挖、修复和评估</t>
  </si>
  <si>
    <t xml:space="preserve">时间届满不是放行条件</t>
  </si>
  <si>
    <t xml:space="preserve">后期管理</t>
  </si>
  <si>
    <t xml:space="preserve">效果与维护终止条件决定</t>
  </si>
  <si>
    <t xml:space="preserve">保留设施、残余风险、监测及运行资金</t>
  </si>
  <si>
    <t xml:space="preserve">不能按垃圾移除即停运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</si>
</sst>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-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0"/>
      <charset val="1"/>
    </font>
    <font>
      <sz val="10"/>
      <color rgb="FF203C58"/>
      <name val="Noto Sans CJK SC"/>
      <family val="0"/>
      <charset val="1"/>
    </font>
    <font>
      <sz val="10"/>
      <color rgb="FF146DA7"/>
      <name val="Noto Sans CJK SC"/>
      <family val="0"/>
      <charset val="1"/>
    </font>
    <font>
      <sz val="12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74775"/>
        <bgColor rgb="FF203C58"/>
      </patternFill>
    </fill>
    <fill>
      <patternFill patternType="solid">
        <fgColor rgb="FFEAF2F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 patternType="solid">
          <fgColor rgb="FF174775"/>
          <bgColor rgb="FF000000"/>
        </patternFill>
      </fill>
    </dxf>
    <dxf>
      <fill>
        <patternFill patternType="solid">
          <fgColor rgb="FFEAF2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3C5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6DA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9"/>
      <rgbColor rgb="FF660066"/>
      <rgbColor rgb="FFFF8080"/>
      <rgbColor rgb="FF146D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4775"/>
      <rgbColor rgb="FF339966"/>
      <rgbColor rgb="FF003300"/>
      <rgbColor rgb="FF333300"/>
      <rgbColor rgb="FF993300"/>
      <rgbColor rgb="FF993366"/>
      <rgbColor rgb="FF333399"/>
      <rgbColor rgb="FF203C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ee.gov.cn/ywgz/fgbz/fl/202603/t20260313_1146496.shtml" TargetMode="External"/><Relationship Id="rId2" Type="http://schemas.openxmlformats.org/officeDocument/2006/relationships/hyperlink" Target="https://www.mee.gov.cn/ywgz/fgbz/bz/bzwb/gthw/gtfwwrkzbz/202408/t20240809_1083681.shtml" TargetMode="External"/><Relationship Id="rId3" Type="http://schemas.openxmlformats.org/officeDocument/2006/relationships/hyperlink" Target="https://www.mee.gov.cn/xxgk2018/xxgk/xxgk06/202512/t20251226_1139029.html" TargetMode="External"/><Relationship Id="rId4" Type="http://schemas.openxmlformats.org/officeDocument/2006/relationships/hyperlink" Target="https://www.mee.gov.cn/zcwj/gwywj/202601/t20260105_1139840.shtml" TargetMode="External"/><Relationship Id="rId5" Type="http://schemas.openxmlformats.org/officeDocument/2006/relationships/hyperlink" Target="https://www.mee.gov.cn/xxgk2018/xxgk/xxgk03/202607/t20260714_1161736.html" TargetMode="External"/><Relationship Id="rId6" Type="http://schemas.openxmlformats.org/officeDocument/2006/relationships/hyperlink" Target="https://www.mee.gov.cn/xxgk2018/xxgk/xxgk03/202601/t20260121_1142344.html" TargetMode="External"/><Relationship Id="rId7" Type="http://schemas.openxmlformats.org/officeDocument/2006/relationships/hyperlink" Target="https://www.mee.gov.cn/zcwj/gwywj/202610/t20261009_1175922.shtml" TargetMode="External"/><Relationship Id="rId8" Type="http://schemas.openxmlformats.org/officeDocument/2006/relationships/hyperlink" Target="https://www.mee.gov.cn/zcwj/gwywj/202610/t20261009_1175944.shtml" TargetMode="External"/><Relationship Id="rId9" Type="http://schemas.openxmlformats.org/officeDocument/2006/relationships/hyperlink" Target="https://www.mee.gov.cn/ywgz/fgbz/bz/bzwb/gthw/gtfwwrkzbz/202512/t20251212_1137618.shtml" TargetMode="External"/><Relationship Id="rId10" Type="http://schemas.openxmlformats.org/officeDocument/2006/relationships/hyperlink" Target="https://www.mee.gov.cn/ywgz/fgbz/bz/bzwb/wlhj/hjzspfbz/202512/t20251211_1137517.shtml" TargetMode="External"/><Relationship Id="rId11" Type="http://schemas.openxmlformats.org/officeDocument/2006/relationships/hyperlink" Target="https://www.mee.gov.cn/ywgz/fgbz/bz/bzwb/trhj/201807/t20180703_446027.shtml" TargetMode="External"/><Relationship Id="rId12" Type="http://schemas.openxmlformats.org/officeDocument/2006/relationships/hyperlink" Target="https://www.mee.gov.cn/xxgk2018/xxgk/xxgk01/201912/t20191209_748356.html" TargetMode="External"/><Relationship Id="rId13" Type="http://schemas.openxmlformats.org/officeDocument/2006/relationships/hyperlink" Target="https://www.mee.gov.cn/ywgz/fgbz/bz/bzwb/trhj/201901/t20190107_688646.shtml" TargetMode="External"/><Relationship Id="rId14" Type="http://schemas.openxmlformats.org/officeDocument/2006/relationships/hyperlink" Target="https://cgj.sz.gov.cn/zwgk/gzdt/content/post_10610768.html" TargetMode="External"/><Relationship Id="rId15" Type="http://schemas.openxmlformats.org/officeDocument/2006/relationships/hyperlink" Target="https://www.mee.gov.cn/home/ztbd/rdzl/sskf/kfss/bjs/dsipbj/202103/t20210309_823930.shtml" TargetMode="External"/><Relationship Id="rId16" Type="http://schemas.openxmlformats.org/officeDocument/2006/relationships/hyperlink" Target="https://cgj.sz.gov.cn/zwgk/gzdt/content/post_12691232.html" TargetMode="External"/><Relationship Id="rId17" Type="http://schemas.openxmlformats.org/officeDocument/2006/relationships/hyperlink" Target="https://cgj.sz.gov.cn/zwgk/gzdt/content/post_11472014.html" TargetMode="External"/><Relationship Id="rId18" Type="http://schemas.openxmlformats.org/officeDocument/2006/relationships/hyperlink" Target="https://www.mee.gov.cn/xxgk2018/xxgk/xxgk15/201905/t20190515_703047.html" TargetMode="External"/><Relationship Id="rId19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46.5" hidden="false" customHeight="true" outlineLevel="0" collapsed="false">
      <c r="A2" s="2" t="s">
        <v>2</v>
      </c>
      <c r="B2" s="2" t="s">
        <v>3</v>
      </c>
    </row>
    <row r="3" customFormat="false" ht="46.5" hidden="false" customHeight="true" outlineLevel="0" collapsed="false">
      <c r="A3" s="3" t="s">
        <v>4</v>
      </c>
      <c r="B3" s="3" t="s">
        <v>5</v>
      </c>
    </row>
    <row r="4" customFormat="false" ht="46.5" hidden="false" customHeight="true" outlineLevel="0" collapsed="false">
      <c r="A4" s="2" t="s">
        <v>6</v>
      </c>
      <c r="B4" s="2" t="s">
        <v>7</v>
      </c>
    </row>
    <row r="5" customFormat="false" ht="46.5" hidden="false" customHeight="true" outlineLevel="0" collapsed="false">
      <c r="A5" s="3" t="s">
        <v>8</v>
      </c>
      <c r="B5" s="3" t="s">
        <v>9</v>
      </c>
    </row>
    <row r="6" customFormat="false" ht="46.5" hidden="false" customHeight="true" outlineLevel="0" collapsed="false">
      <c r="A6" s="2" t="s">
        <v>10</v>
      </c>
      <c r="B6" s="2" t="s">
        <v>11</v>
      </c>
    </row>
    <row r="7" customFormat="false" ht="46.5" hidden="false" customHeight="true" outlineLevel="0" collapsed="false">
      <c r="A7" s="3" t="s">
        <v>12</v>
      </c>
      <c r="B7" s="3" t="s">
        <v>13</v>
      </c>
    </row>
    <row r="8" customFormat="false" ht="46.5" hidden="false" customHeight="true" outlineLevel="0" collapsed="false">
      <c r="A8" s="2" t="s">
        <v>14</v>
      </c>
      <c r="B8" s="2" t="s">
        <v>15</v>
      </c>
    </row>
    <row r="9" customFormat="false" ht="46.5" hidden="false" customHeight="true" outlineLevel="0" collapsed="false">
      <c r="A9" s="3" t="s">
        <v>16</v>
      </c>
      <c r="B9" s="3" t="s">
        <v>17</v>
      </c>
    </row>
    <row r="10" customFormat="false" ht="46.5" hidden="false" customHeight="true" outlineLevel="0" collapsed="false">
      <c r="A10" s="2" t="s">
        <v>18</v>
      </c>
      <c r="B10" s="2" t="s">
        <v>19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24"/>
  </cols>
  <sheetData>
    <row r="1" customFormat="false" ht="17.15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customFormat="false" ht="46.5" hidden="false" customHeight="true" outlineLevel="0" collapsed="false">
      <c r="A2" s="2" t="s">
        <v>25</v>
      </c>
      <c r="B2" s="4" t="n">
        <v>170</v>
      </c>
      <c r="C2" s="2" t="s">
        <v>26</v>
      </c>
      <c r="D2" s="2" t="s">
        <v>27</v>
      </c>
      <c r="E2" s="2" t="s">
        <v>28</v>
      </c>
    </row>
    <row r="3" customFormat="false" ht="46.5" hidden="false" customHeight="true" outlineLevel="0" collapsed="false">
      <c r="A3" s="3" t="s">
        <v>29</v>
      </c>
      <c r="B3" s="5" t="n">
        <v>115</v>
      </c>
      <c r="C3" s="3" t="s">
        <v>30</v>
      </c>
      <c r="D3" s="3" t="s">
        <v>31</v>
      </c>
      <c r="E3" s="3" t="s">
        <v>28</v>
      </c>
    </row>
    <row r="4" customFormat="false" ht="46.5" hidden="false" customHeight="true" outlineLevel="0" collapsed="false">
      <c r="A4" s="2" t="s">
        <v>32</v>
      </c>
      <c r="B4" s="4" t="n">
        <v>20</v>
      </c>
      <c r="C4" s="2" t="s">
        <v>26</v>
      </c>
      <c r="D4" s="2" t="s">
        <v>33</v>
      </c>
      <c r="E4" s="2" t="s">
        <v>28</v>
      </c>
    </row>
    <row r="5" customFormat="false" ht="46.5" hidden="false" customHeight="true" outlineLevel="0" collapsed="false">
      <c r="A5" s="3" t="s">
        <v>34</v>
      </c>
      <c r="B5" s="5" t="n">
        <v>365</v>
      </c>
      <c r="C5" s="3" t="s">
        <v>35</v>
      </c>
      <c r="D5" s="3" t="s">
        <v>36</v>
      </c>
      <c r="E5" s="3" t="s">
        <v>37</v>
      </c>
    </row>
    <row r="6" customFormat="false" ht="46.5" hidden="false" customHeight="true" outlineLevel="0" collapsed="false">
      <c r="A6" s="2" t="s">
        <v>38</v>
      </c>
      <c r="B6" s="4" t="s">
        <v>39</v>
      </c>
      <c r="C6" s="2" t="s">
        <v>40</v>
      </c>
      <c r="D6" s="2" t="s">
        <v>41</v>
      </c>
      <c r="E6" s="2" t="s">
        <v>42</v>
      </c>
    </row>
    <row r="7" customFormat="false" ht="46.5" hidden="false" customHeight="true" outlineLevel="0" collapsed="false">
      <c r="A7" s="3" t="s">
        <v>43</v>
      </c>
      <c r="B7" s="5" t="s">
        <v>44</v>
      </c>
      <c r="C7" s="3" t="s">
        <v>40</v>
      </c>
      <c r="D7" s="3" t="s">
        <v>45</v>
      </c>
      <c r="E7" s="3" t="s">
        <v>28</v>
      </c>
    </row>
    <row r="8" customFormat="false" ht="46.5" hidden="false" customHeight="true" outlineLevel="0" collapsed="false">
      <c r="A8" s="2" t="s">
        <v>46</v>
      </c>
      <c r="B8" s="6" t="n">
        <f aca="false">DATE(2026,12,31)-DATE(2026,10,11)</f>
        <v>81</v>
      </c>
      <c r="C8" s="2" t="s">
        <v>35</v>
      </c>
      <c r="D8" s="2" t="s">
        <v>47</v>
      </c>
      <c r="E8" s="2" t="s">
        <v>48</v>
      </c>
    </row>
    <row r="9" customFormat="false" ht="46.5" hidden="false" customHeight="true" outlineLevel="0" collapsed="false">
      <c r="A9" s="3" t="s">
        <v>49</v>
      </c>
      <c r="B9" s="7" t="n">
        <f aca="false">B2*B5</f>
        <v>62050</v>
      </c>
      <c r="C9" s="3" t="s">
        <v>50</v>
      </c>
      <c r="D9" s="3" t="s">
        <v>51</v>
      </c>
      <c r="E9" s="3" t="s">
        <v>52</v>
      </c>
    </row>
    <row r="10" customFormat="false" ht="46.5" hidden="false" customHeight="true" outlineLevel="0" collapsed="false">
      <c r="A10" s="2" t="s">
        <v>53</v>
      </c>
      <c r="B10" s="6" t="n">
        <f aca="false">B9*B3/10000</f>
        <v>713.575</v>
      </c>
      <c r="C10" s="2" t="s">
        <v>54</v>
      </c>
      <c r="D10" s="2" t="s">
        <v>55</v>
      </c>
      <c r="E10" s="2" t="s">
        <v>52</v>
      </c>
    </row>
    <row r="11" customFormat="false" ht="46.5" hidden="false" customHeight="true" outlineLevel="0" collapsed="false">
      <c r="A11" s="3" t="s">
        <v>56</v>
      </c>
      <c r="B11" s="7" t="n">
        <f aca="false">B2*B8</f>
        <v>13770</v>
      </c>
      <c r="C11" s="3" t="s">
        <v>57</v>
      </c>
      <c r="D11" s="3" t="s">
        <v>58</v>
      </c>
      <c r="E11" s="3" t="s">
        <v>52</v>
      </c>
    </row>
    <row r="12" customFormat="false" ht="46.5" hidden="false" customHeight="true" outlineLevel="0" collapsed="false">
      <c r="A12" s="2" t="s">
        <v>59</v>
      </c>
      <c r="B12" s="6" t="n">
        <f aca="false">B11*B3/10000</f>
        <v>158.355</v>
      </c>
      <c r="C12" s="2" t="s">
        <v>60</v>
      </c>
      <c r="D12" s="2" t="s">
        <v>61</v>
      </c>
      <c r="E12" s="2" t="s">
        <v>52</v>
      </c>
    </row>
    <row r="13" customFormat="false" ht="46.5" hidden="false" customHeight="true" outlineLevel="0" collapsed="false">
      <c r="A13" s="3" t="s">
        <v>62</v>
      </c>
      <c r="B13" s="7" t="n">
        <f aca="false">B4*B5</f>
        <v>7300</v>
      </c>
      <c r="C13" s="3" t="s">
        <v>50</v>
      </c>
      <c r="D13" s="3" t="s">
        <v>63</v>
      </c>
      <c r="E13" s="3" t="s">
        <v>52</v>
      </c>
    </row>
    <row r="14" customFormat="false" ht="46.5" hidden="false" customHeight="true" outlineLevel="0" collapsed="false">
      <c r="A14" s="2" t="s">
        <v>64</v>
      </c>
      <c r="B14" s="6" t="n">
        <f aca="false">B10*10</f>
        <v>7135.75</v>
      </c>
      <c r="C14" s="2" t="s">
        <v>60</v>
      </c>
      <c r="D14" s="2" t="s">
        <v>65</v>
      </c>
      <c r="E14" s="2" t="s">
        <v>66</v>
      </c>
    </row>
    <row r="15" customFormat="false" ht="46.5" hidden="false" customHeight="true" outlineLevel="0" collapsed="false">
      <c r="A15" s="3" t="s">
        <v>67</v>
      </c>
      <c r="B15" s="7" t="n">
        <f aca="false">B10*20</f>
        <v>14271.5</v>
      </c>
      <c r="C15" s="3" t="s">
        <v>60</v>
      </c>
      <c r="D15" s="3" t="s">
        <v>68</v>
      </c>
      <c r="E15" s="3" t="s">
        <v>66</v>
      </c>
    </row>
    <row r="16" customFormat="false" ht="46.5" hidden="false" customHeight="true" outlineLevel="0" collapsed="false">
      <c r="A16" s="2" t="s">
        <v>69</v>
      </c>
      <c r="B16" s="4" t="n">
        <v>1700000</v>
      </c>
      <c r="C16" s="2" t="s">
        <v>70</v>
      </c>
      <c r="D16" s="2" t="s">
        <v>71</v>
      </c>
      <c r="E16" s="2" t="s">
        <v>72</v>
      </c>
    </row>
    <row r="17" customFormat="false" ht="46.5" hidden="false" customHeight="true" outlineLevel="0" collapsed="false">
      <c r="A17" s="3" t="s">
        <v>73</v>
      </c>
      <c r="B17" s="5" t="n">
        <v>2500000</v>
      </c>
      <c r="C17" s="3" t="s">
        <v>70</v>
      </c>
      <c r="D17" s="3" t="s">
        <v>74</v>
      </c>
      <c r="E17" s="3" t="s">
        <v>28</v>
      </c>
    </row>
    <row r="18" customFormat="false" ht="46.5" hidden="false" customHeight="true" outlineLevel="0" collapsed="false">
      <c r="A18" s="2" t="s">
        <v>75</v>
      </c>
      <c r="B18" s="4" t="n">
        <v>10</v>
      </c>
      <c r="C18" s="2" t="s">
        <v>76</v>
      </c>
      <c r="D18" s="2" t="s">
        <v>77</v>
      </c>
      <c r="E18" s="2" t="s">
        <v>78</v>
      </c>
    </row>
    <row r="19" customFormat="false" ht="46.5" hidden="false" customHeight="true" outlineLevel="0" collapsed="false">
      <c r="A19" s="3" t="s">
        <v>79</v>
      </c>
      <c r="B19" s="7" t="n">
        <f aca="false">B16*B18/10000</f>
        <v>1700</v>
      </c>
      <c r="C19" s="3" t="s">
        <v>60</v>
      </c>
      <c r="D19" s="3" t="s">
        <v>80</v>
      </c>
      <c r="E19" s="3" t="s">
        <v>81</v>
      </c>
    </row>
    <row r="20" customFormat="false" ht="46.5" hidden="false" customHeight="true" outlineLevel="0" collapsed="false">
      <c r="A20" s="2" t="s">
        <v>82</v>
      </c>
      <c r="B20" s="6" t="n">
        <f aca="false">B17*B18/10000</f>
        <v>2500</v>
      </c>
      <c r="C20" s="2" t="s">
        <v>60</v>
      </c>
      <c r="D20" s="2" t="s">
        <v>83</v>
      </c>
      <c r="E20" s="2" t="s">
        <v>81</v>
      </c>
    </row>
  </sheetData>
  <autoFilter ref="A1:E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23"/>
    <col collapsed="false" customWidth="true" hidden="false" outlineLevel="0" max="6" min="6" style="0" width="65"/>
  </cols>
  <sheetData>
    <row r="1" customFormat="false" ht="17.15" hidden="false" customHeight="false" outlineLevel="0" collapsed="false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 customFormat="false" ht="46.5" hidden="false" customHeight="true" outlineLevel="0" collapsed="false">
      <c r="A2" s="2" t="s">
        <v>90</v>
      </c>
      <c r="B2" s="2" t="s">
        <v>91</v>
      </c>
      <c r="C2" s="2"/>
      <c r="D2" s="2"/>
      <c r="E2" s="6" t="str">
        <f aca="false">IF(OR(C2="",D2=""),"待核定",C2*D2)</f>
        <v>待核定</v>
      </c>
      <c r="F2" s="2" t="s">
        <v>92</v>
      </c>
    </row>
    <row r="3" customFormat="false" ht="46.5" hidden="false" customHeight="true" outlineLevel="0" collapsed="false">
      <c r="A3" s="3" t="s">
        <v>93</v>
      </c>
      <c r="B3" s="3" t="s">
        <v>94</v>
      </c>
      <c r="C3" s="3"/>
      <c r="D3" s="3"/>
      <c r="E3" s="7" t="str">
        <f aca="false">IF(OR(C3="",D3=""),"待核定",C3*D3)</f>
        <v>待核定</v>
      </c>
      <c r="F3" s="3" t="s">
        <v>95</v>
      </c>
    </row>
    <row r="4" customFormat="false" ht="46.5" hidden="false" customHeight="true" outlineLevel="0" collapsed="false">
      <c r="A4" s="2" t="s">
        <v>96</v>
      </c>
      <c r="B4" s="2" t="s">
        <v>97</v>
      </c>
      <c r="C4" s="2"/>
      <c r="D4" s="2"/>
      <c r="E4" s="6" t="str">
        <f aca="false">IF(OR(C4="",D4=""),"待核定",C4*D4)</f>
        <v>待核定</v>
      </c>
      <c r="F4" s="2" t="s">
        <v>98</v>
      </c>
    </row>
    <row r="5" customFormat="false" ht="46.5" hidden="false" customHeight="true" outlineLevel="0" collapsed="false">
      <c r="A5" s="3" t="s">
        <v>99</v>
      </c>
      <c r="B5" s="3" t="s">
        <v>100</v>
      </c>
      <c r="C5" s="3"/>
      <c r="D5" s="3"/>
      <c r="E5" s="7" t="str">
        <f aca="false">IF(OR(C5="",D5=""),"待核定",C5*D5)</f>
        <v>待核定</v>
      </c>
      <c r="F5" s="3" t="s">
        <v>101</v>
      </c>
    </row>
    <row r="6" customFormat="false" ht="46.5" hidden="false" customHeight="true" outlineLevel="0" collapsed="false">
      <c r="A6" s="2" t="s">
        <v>102</v>
      </c>
      <c r="B6" s="2" t="s">
        <v>103</v>
      </c>
      <c r="C6" s="2"/>
      <c r="D6" s="2"/>
      <c r="E6" s="6" t="str">
        <f aca="false">IF(OR(C6="",D6=""),"待核定",C6*D6)</f>
        <v>待核定</v>
      </c>
      <c r="F6" s="2" t="s">
        <v>104</v>
      </c>
    </row>
    <row r="7" customFormat="false" ht="46.5" hidden="false" customHeight="true" outlineLevel="0" collapsed="false">
      <c r="A7" s="3" t="s">
        <v>105</v>
      </c>
      <c r="B7" s="3" t="s">
        <v>106</v>
      </c>
      <c r="C7" s="3"/>
      <c r="D7" s="3"/>
      <c r="E7" s="7" t="str">
        <f aca="false">IF(OR(C7="",D7=""),"待核定",C7*D7)</f>
        <v>待核定</v>
      </c>
      <c r="F7" s="3" t="s">
        <v>107</v>
      </c>
    </row>
    <row r="8" customFormat="false" ht="46.5" hidden="false" customHeight="true" outlineLevel="0" collapsed="false">
      <c r="A8" s="2" t="s">
        <v>108</v>
      </c>
      <c r="B8" s="2" t="s">
        <v>57</v>
      </c>
      <c r="C8" s="2"/>
      <c r="D8" s="2"/>
      <c r="E8" s="6" t="str">
        <f aca="false">IF(OR(C8="",D8=""),"待核定",C8*D8)</f>
        <v>待核定</v>
      </c>
      <c r="F8" s="2" t="s">
        <v>109</v>
      </c>
    </row>
    <row r="9" customFormat="false" ht="46.5" hidden="false" customHeight="true" outlineLevel="0" collapsed="false">
      <c r="A9" s="3" t="s">
        <v>110</v>
      </c>
      <c r="B9" s="3" t="s">
        <v>111</v>
      </c>
      <c r="C9" s="3"/>
      <c r="D9" s="3"/>
      <c r="E9" s="7" t="str">
        <f aca="false">IF(OR(C9="",D9=""),"待核定",C9*D9)</f>
        <v>待核定</v>
      </c>
      <c r="F9" s="3" t="s">
        <v>112</v>
      </c>
    </row>
    <row r="10" customFormat="false" ht="46.5" hidden="false" customHeight="true" outlineLevel="0" collapsed="false">
      <c r="A10" s="2" t="s">
        <v>113</v>
      </c>
      <c r="B10" s="2" t="s">
        <v>114</v>
      </c>
      <c r="C10" s="2"/>
      <c r="D10" s="2"/>
      <c r="E10" s="6" t="str">
        <f aca="false">IF(OR(C10="",D10=""),"待核定",C10*D10)</f>
        <v>待核定</v>
      </c>
      <c r="F10" s="2" t="s">
        <v>115</v>
      </c>
    </row>
    <row r="11" customFormat="false" ht="46.5" hidden="false" customHeight="true" outlineLevel="0" collapsed="false">
      <c r="A11" s="3" t="s">
        <v>116</v>
      </c>
      <c r="B11" s="3" t="s">
        <v>117</v>
      </c>
      <c r="C11" s="3"/>
      <c r="D11" s="3"/>
      <c r="E11" s="7" t="str">
        <f aca="false">IF(OR(C11="",D11=""),"待核定",C11*D11)</f>
        <v>待核定</v>
      </c>
      <c r="F11" s="3" t="s">
        <v>118</v>
      </c>
    </row>
    <row r="12" customFormat="false" ht="46.5" hidden="false" customHeight="true" outlineLevel="0" collapsed="false">
      <c r="A12" s="2" t="s">
        <v>119</v>
      </c>
      <c r="B12" s="2" t="s">
        <v>120</v>
      </c>
      <c r="C12" s="2"/>
      <c r="D12" s="2"/>
      <c r="E12" s="6" t="str">
        <f aca="false">IF(OR(C12="",D12=""),"待核定",C12*D12)</f>
        <v>待核定</v>
      </c>
      <c r="F12" s="2" t="s">
        <v>121</v>
      </c>
    </row>
    <row r="13" customFormat="false" ht="46.5" hidden="false" customHeight="true" outlineLevel="0" collapsed="false">
      <c r="A13" s="3" t="s">
        <v>122</v>
      </c>
      <c r="B13" s="3" t="s">
        <v>123</v>
      </c>
      <c r="C13" s="3"/>
      <c r="D13" s="3"/>
      <c r="E13" s="7" t="str">
        <f aca="false">IF(OR(C13="",D13=""),"待核定",C13*D13)</f>
        <v>待核定</v>
      </c>
      <c r="F13" s="3" t="s">
        <v>124</v>
      </c>
    </row>
    <row r="14" customFormat="false" ht="46.5" hidden="false" customHeight="true" outlineLevel="0" collapsed="false">
      <c r="A14" s="2" t="s">
        <v>125</v>
      </c>
      <c r="B14" s="2" t="s">
        <v>126</v>
      </c>
      <c r="C14" s="2"/>
      <c r="D14" s="2"/>
      <c r="E14" s="6" t="str">
        <f aca="false">IF(OR(C14="",D14=""),"待核定",C14*D14)</f>
        <v>待核定</v>
      </c>
      <c r="F14" s="2" t="s">
        <v>127</v>
      </c>
    </row>
    <row r="15" customFormat="false" ht="46.5" hidden="false" customHeight="true" outlineLevel="0" collapsed="false">
      <c r="A15" s="3" t="s">
        <v>128</v>
      </c>
      <c r="B15" s="3" t="s">
        <v>129</v>
      </c>
      <c r="C15" s="3"/>
      <c r="D15" s="3"/>
      <c r="E15" s="7" t="str">
        <f aca="false">IF(COUNT(E2:E14)=ROWS(E2:E14),SUM(E2:E14),"待核定")</f>
        <v>待核定</v>
      </c>
      <c r="F15" s="3" t="s">
        <v>130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5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75"/>
    <col collapsed="false" customWidth="true" hidden="false" outlineLevel="0" max="6" min="6" style="0" width="65"/>
    <col collapsed="false" customWidth="true" hidden="false" outlineLevel="0" max="7" min="7" style="0" width="100"/>
  </cols>
  <sheetData>
    <row r="1" customFormat="false" ht="15" hidden="false" customHeight="false" outlineLevel="0" collapsed="false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</row>
    <row r="2" customFormat="false" ht="72" hidden="false" customHeight="true" outlineLevel="0" collapsed="false">
      <c r="A2" s="2" t="s">
        <v>28</v>
      </c>
      <c r="B2" s="2" t="s">
        <v>138</v>
      </c>
      <c r="C2" s="2" t="s">
        <v>139</v>
      </c>
      <c r="D2" s="2" t="s">
        <v>140</v>
      </c>
      <c r="E2" s="2" t="s">
        <v>141</v>
      </c>
      <c r="F2" s="2" t="s">
        <v>142</v>
      </c>
      <c r="G2" s="2"/>
    </row>
    <row r="3" customFormat="false" ht="72" hidden="false" customHeight="true" outlineLevel="0" collapsed="false">
      <c r="A3" s="3" t="s">
        <v>72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  <c r="G3" s="3"/>
    </row>
    <row r="4" customFormat="false" ht="72" hidden="false" customHeight="true" outlineLevel="0" collapsed="false">
      <c r="A4" s="2" t="s">
        <v>148</v>
      </c>
      <c r="B4" s="2" t="s">
        <v>149</v>
      </c>
      <c r="C4" s="2" t="s">
        <v>150</v>
      </c>
      <c r="D4" s="2" t="s">
        <v>151</v>
      </c>
      <c r="E4" s="2" t="s">
        <v>152</v>
      </c>
      <c r="F4" s="2" t="s">
        <v>153</v>
      </c>
      <c r="G4" s="8" t="s">
        <v>154</v>
      </c>
    </row>
    <row r="5" customFormat="false" ht="72" hidden="false" customHeight="true" outlineLevel="0" collapsed="false">
      <c r="A5" s="3" t="s">
        <v>155</v>
      </c>
      <c r="B5" s="3" t="s">
        <v>156</v>
      </c>
      <c r="C5" s="3" t="s">
        <v>157</v>
      </c>
      <c r="D5" s="3" t="s">
        <v>158</v>
      </c>
      <c r="E5" s="3" t="s">
        <v>159</v>
      </c>
      <c r="F5" s="3" t="s">
        <v>160</v>
      </c>
      <c r="G5" s="9" t="s">
        <v>161</v>
      </c>
    </row>
    <row r="6" customFormat="false" ht="72" hidden="false" customHeight="true" outlineLevel="0" collapsed="false">
      <c r="A6" s="2" t="s">
        <v>162</v>
      </c>
      <c r="B6" s="2" t="s">
        <v>163</v>
      </c>
      <c r="C6" s="2" t="s">
        <v>164</v>
      </c>
      <c r="D6" s="2" t="s">
        <v>165</v>
      </c>
      <c r="E6" s="2" t="s">
        <v>166</v>
      </c>
      <c r="F6" s="2" t="s">
        <v>167</v>
      </c>
      <c r="G6" s="8" t="s">
        <v>168</v>
      </c>
    </row>
    <row r="7" customFormat="false" ht="72" hidden="false" customHeight="true" outlineLevel="0" collapsed="false">
      <c r="A7" s="3" t="s">
        <v>169</v>
      </c>
      <c r="B7" s="3" t="s">
        <v>170</v>
      </c>
      <c r="C7" s="3" t="s">
        <v>171</v>
      </c>
      <c r="D7" s="3" t="s">
        <v>172</v>
      </c>
      <c r="E7" s="3" t="s">
        <v>173</v>
      </c>
      <c r="F7" s="3" t="s">
        <v>174</v>
      </c>
      <c r="G7" s="9" t="s">
        <v>175</v>
      </c>
    </row>
    <row r="8" customFormat="false" ht="72" hidden="false" customHeight="true" outlineLevel="0" collapsed="false">
      <c r="A8" s="2" t="s">
        <v>176</v>
      </c>
      <c r="B8" s="2" t="s">
        <v>177</v>
      </c>
      <c r="C8" s="2" t="s">
        <v>178</v>
      </c>
      <c r="D8" s="2" t="s">
        <v>179</v>
      </c>
      <c r="E8" s="2" t="s">
        <v>180</v>
      </c>
      <c r="F8" s="2" t="s">
        <v>181</v>
      </c>
      <c r="G8" s="8" t="s">
        <v>182</v>
      </c>
    </row>
    <row r="9" customFormat="false" ht="72" hidden="false" customHeight="true" outlineLevel="0" collapsed="false">
      <c r="A9" s="3" t="s">
        <v>183</v>
      </c>
      <c r="B9" s="3" t="s">
        <v>184</v>
      </c>
      <c r="C9" s="3" t="s">
        <v>185</v>
      </c>
      <c r="D9" s="3" t="s">
        <v>186</v>
      </c>
      <c r="E9" s="3" t="s">
        <v>187</v>
      </c>
      <c r="F9" s="3" t="s">
        <v>188</v>
      </c>
      <c r="G9" s="9" t="s">
        <v>189</v>
      </c>
    </row>
    <row r="10" customFormat="false" ht="72" hidden="false" customHeight="true" outlineLevel="0" collapsed="false">
      <c r="A10" s="2" t="s">
        <v>190</v>
      </c>
      <c r="B10" s="2" t="s">
        <v>191</v>
      </c>
      <c r="C10" s="2" t="s">
        <v>171</v>
      </c>
      <c r="D10" s="2" t="s">
        <v>192</v>
      </c>
      <c r="E10" s="2" t="s">
        <v>193</v>
      </c>
      <c r="F10" s="2" t="s">
        <v>194</v>
      </c>
      <c r="G10" s="8" t="s">
        <v>195</v>
      </c>
    </row>
    <row r="11" customFormat="false" ht="72" hidden="false" customHeight="true" outlineLevel="0" collapsed="false">
      <c r="A11" s="3" t="s">
        <v>196</v>
      </c>
      <c r="B11" s="3" t="s">
        <v>197</v>
      </c>
      <c r="C11" s="3" t="s">
        <v>171</v>
      </c>
      <c r="D11" s="3" t="s">
        <v>192</v>
      </c>
      <c r="E11" s="3" t="s">
        <v>198</v>
      </c>
      <c r="F11" s="3" t="s">
        <v>194</v>
      </c>
      <c r="G11" s="9" t="s">
        <v>199</v>
      </c>
    </row>
    <row r="12" customFormat="false" ht="72" hidden="false" customHeight="true" outlineLevel="0" collapsed="false">
      <c r="A12" s="2" t="s">
        <v>200</v>
      </c>
      <c r="B12" s="2" t="s">
        <v>201</v>
      </c>
      <c r="C12" s="2" t="s">
        <v>157</v>
      </c>
      <c r="D12" s="2" t="s">
        <v>202</v>
      </c>
      <c r="E12" s="2" t="s">
        <v>203</v>
      </c>
      <c r="F12" s="2" t="s">
        <v>204</v>
      </c>
      <c r="G12" s="8" t="s">
        <v>205</v>
      </c>
    </row>
    <row r="13" customFormat="false" ht="72" hidden="false" customHeight="true" outlineLevel="0" collapsed="false">
      <c r="A13" s="3" t="s">
        <v>206</v>
      </c>
      <c r="B13" s="3" t="s">
        <v>207</v>
      </c>
      <c r="C13" s="3" t="s">
        <v>157</v>
      </c>
      <c r="D13" s="3" t="s">
        <v>208</v>
      </c>
      <c r="E13" s="3" t="s">
        <v>209</v>
      </c>
      <c r="F13" s="3" t="s">
        <v>210</v>
      </c>
      <c r="G13" s="9" t="s">
        <v>211</v>
      </c>
    </row>
    <row r="14" customFormat="false" ht="72" hidden="false" customHeight="true" outlineLevel="0" collapsed="false">
      <c r="A14" s="2" t="s">
        <v>212</v>
      </c>
      <c r="B14" s="2" t="s">
        <v>213</v>
      </c>
      <c r="C14" s="2" t="s">
        <v>157</v>
      </c>
      <c r="D14" s="2" t="s">
        <v>214</v>
      </c>
      <c r="E14" s="2" t="s">
        <v>215</v>
      </c>
      <c r="F14" s="2" t="s">
        <v>216</v>
      </c>
      <c r="G14" s="8" t="s">
        <v>217</v>
      </c>
    </row>
    <row r="15" customFormat="false" ht="72" hidden="false" customHeight="true" outlineLevel="0" collapsed="false">
      <c r="A15" s="3" t="s">
        <v>218</v>
      </c>
      <c r="B15" s="3" t="s">
        <v>219</v>
      </c>
      <c r="C15" s="3" t="s">
        <v>164</v>
      </c>
      <c r="D15" s="3" t="s">
        <v>220</v>
      </c>
      <c r="E15" s="3" t="s">
        <v>221</v>
      </c>
      <c r="F15" s="3" t="s">
        <v>222</v>
      </c>
      <c r="G15" s="9" t="s">
        <v>223</v>
      </c>
    </row>
    <row r="16" customFormat="false" ht="72" hidden="false" customHeight="true" outlineLevel="0" collapsed="false">
      <c r="A16" s="2" t="s">
        <v>224</v>
      </c>
      <c r="B16" s="2" t="s">
        <v>225</v>
      </c>
      <c r="C16" s="2" t="s">
        <v>164</v>
      </c>
      <c r="D16" s="2" t="s">
        <v>226</v>
      </c>
      <c r="E16" s="2" t="s">
        <v>227</v>
      </c>
      <c r="F16" s="2" t="s">
        <v>228</v>
      </c>
      <c r="G16" s="8" t="s">
        <v>229</v>
      </c>
    </row>
    <row r="17" customFormat="false" ht="72" hidden="false" customHeight="true" outlineLevel="0" collapsed="false">
      <c r="A17" s="3" t="s">
        <v>230</v>
      </c>
      <c r="B17" s="3" t="s">
        <v>231</v>
      </c>
      <c r="C17" s="3" t="s">
        <v>232</v>
      </c>
      <c r="D17" s="3" t="s">
        <v>233</v>
      </c>
      <c r="E17" s="3" t="s">
        <v>234</v>
      </c>
      <c r="F17" s="3" t="s">
        <v>235</v>
      </c>
      <c r="G17" s="9" t="s">
        <v>236</v>
      </c>
    </row>
    <row r="18" customFormat="false" ht="72" hidden="false" customHeight="true" outlineLevel="0" collapsed="false">
      <c r="A18" s="2" t="s">
        <v>237</v>
      </c>
      <c r="B18" s="2" t="s">
        <v>238</v>
      </c>
      <c r="C18" s="2" t="s">
        <v>239</v>
      </c>
      <c r="D18" s="2" t="s">
        <v>240</v>
      </c>
      <c r="E18" s="2" t="s">
        <v>241</v>
      </c>
      <c r="F18" s="2" t="s">
        <v>242</v>
      </c>
      <c r="G18" s="8" t="s">
        <v>243</v>
      </c>
    </row>
    <row r="19" customFormat="false" ht="72" hidden="false" customHeight="true" outlineLevel="0" collapsed="false">
      <c r="A19" s="3" t="s">
        <v>244</v>
      </c>
      <c r="B19" s="3" t="s">
        <v>245</v>
      </c>
      <c r="C19" s="3" t="s">
        <v>232</v>
      </c>
      <c r="D19" s="3" t="s">
        <v>246</v>
      </c>
      <c r="E19" s="3" t="s">
        <v>247</v>
      </c>
      <c r="F19" s="3" t="s">
        <v>248</v>
      </c>
      <c r="G19" s="9" t="s">
        <v>249</v>
      </c>
    </row>
    <row r="20" customFormat="false" ht="72" hidden="false" customHeight="true" outlineLevel="0" collapsed="false">
      <c r="A20" s="2" t="s">
        <v>250</v>
      </c>
      <c r="B20" s="2" t="s">
        <v>251</v>
      </c>
      <c r="C20" s="2" t="s">
        <v>232</v>
      </c>
      <c r="D20" s="2" t="s">
        <v>252</v>
      </c>
      <c r="E20" s="2" t="s">
        <v>253</v>
      </c>
      <c r="F20" s="2" t="s">
        <v>254</v>
      </c>
      <c r="G20" s="8" t="s">
        <v>255</v>
      </c>
    </row>
    <row r="21" customFormat="false" ht="72" hidden="false" customHeight="true" outlineLevel="0" collapsed="false">
      <c r="A21" s="3" t="s">
        <v>256</v>
      </c>
      <c r="B21" s="3" t="s">
        <v>257</v>
      </c>
      <c r="C21" s="3" t="s">
        <v>258</v>
      </c>
      <c r="D21" s="3" t="s">
        <v>259</v>
      </c>
      <c r="E21" s="3" t="s">
        <v>260</v>
      </c>
      <c r="F21" s="3" t="s">
        <v>261</v>
      </c>
      <c r="G21" s="9" t="s">
        <v>262</v>
      </c>
    </row>
  </sheetData>
  <autoFilter ref="A1:G21"/>
  <hyperlinks>
    <hyperlink ref="G4" r:id="rId1" display="https://www.mee.gov.cn/ywgz/fgbz/fl/202603/t20260313_1146496.shtml"/>
    <hyperlink ref="G5" r:id="rId2" display="https://www.mee.gov.cn/ywgz/fgbz/bz/bzwb/gthw/gtfwwrkzbz/202408/t20240809_1083681.shtml"/>
    <hyperlink ref="G6" r:id="rId3" display="https://www.mee.gov.cn/xxgk2018/xxgk/xxgk06/202512/t20251226_1139029.html"/>
    <hyperlink ref="G7" r:id="rId4" display="https://www.mee.gov.cn/zcwj/gwywj/202601/t20260105_1139840.shtml"/>
    <hyperlink ref="G8" r:id="rId5" display="https://www.mee.gov.cn/xxgk2018/xxgk/xxgk03/202607/t20260714_1161736.html"/>
    <hyperlink ref="G9" r:id="rId6" display="https://www.mee.gov.cn/xxgk2018/xxgk/xxgk03/202601/t20260121_1142344.html"/>
    <hyperlink ref="G10" r:id="rId7" display="https://www.mee.gov.cn/zcwj/gwywj/202610/t20261009_1175922.shtml"/>
    <hyperlink ref="G11" r:id="rId8" display="https://www.mee.gov.cn/zcwj/gwywj/202610/t20261009_1175944.shtml"/>
    <hyperlink ref="G12" r:id="rId9" display="https://www.mee.gov.cn/ywgz/fgbz/bz/bzwb/gthw/gtfwwrkzbz/202512/t20251212_1137618.shtml"/>
    <hyperlink ref="G13" r:id="rId10" display="https://www.mee.gov.cn/ywgz/fgbz/bz/bzwb/wlhj/hjzspfbz/202512/t20251211_1137517.shtml"/>
    <hyperlink ref="G14" r:id="rId11" display="https://www.mee.gov.cn/ywgz/fgbz/bz/bzwb/trhj/201807/t20180703_446027.shtml"/>
    <hyperlink ref="G15" r:id="rId12" display="https://www.mee.gov.cn/xxgk2018/xxgk/xxgk01/201912/t20191209_748356.html"/>
    <hyperlink ref="G16" r:id="rId13" display="https://www.mee.gov.cn/ywgz/fgbz/bz/bzwb/trhj/201901/t20190107_688646.shtml"/>
    <hyperlink ref="G17" r:id="rId14" display="https://cgj.sz.gov.cn/zwgk/gzdt/content/post_10610768.html"/>
    <hyperlink ref="G18" r:id="rId15" display="https://www.mee.gov.cn/home/ztbd/rdzl/sskf/kfss/bjs/dsipbj/202103/t20210309_823930.shtml"/>
    <hyperlink ref="G19" r:id="rId16" display="https://cgj.sz.gov.cn/zwgk/gzdt/content/post_12691232.html"/>
    <hyperlink ref="G20" r:id="rId17" display="https://cgj.sz.gov.cn/zwgk/gzdt/content/post_11472014.html"/>
    <hyperlink ref="G21" r:id="rId18" display="https://www.mee.gov.cn/xxgk2018/xxgk/xxgk15/201905/t20190515_703047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85"/>
    <col collapsed="false" customWidth="true" hidden="false" outlineLevel="0" max="4" min="4" style="0" width="65"/>
  </cols>
  <sheetData>
    <row r="1" customFormat="false" ht="15" hidden="false" customHeight="false" outlineLevel="0" collapsed="false">
      <c r="A1" s="1" t="s">
        <v>263</v>
      </c>
      <c r="B1" s="1" t="s">
        <v>264</v>
      </c>
      <c r="C1" s="1" t="s">
        <v>265</v>
      </c>
      <c r="D1" s="1" t="s">
        <v>266</v>
      </c>
    </row>
    <row r="2" customFormat="false" ht="46.5" hidden="false" customHeight="true" outlineLevel="0" collapsed="false">
      <c r="A2" s="2" t="s">
        <v>267</v>
      </c>
      <c r="B2" s="2" t="s">
        <v>268</v>
      </c>
      <c r="C2" s="2" t="s">
        <v>269</v>
      </c>
      <c r="D2" s="2" t="s">
        <v>270</v>
      </c>
    </row>
    <row r="3" customFormat="false" ht="46.5" hidden="false" customHeight="true" outlineLevel="0" collapsed="false">
      <c r="A3" s="3" t="s">
        <v>271</v>
      </c>
      <c r="B3" s="3" t="s">
        <v>272</v>
      </c>
      <c r="C3" s="3" t="s">
        <v>273</v>
      </c>
      <c r="D3" s="3" t="s">
        <v>274</v>
      </c>
    </row>
    <row r="4" customFormat="false" ht="46.5" hidden="false" customHeight="true" outlineLevel="0" collapsed="false">
      <c r="A4" s="2" t="s">
        <v>275</v>
      </c>
      <c r="B4" s="2" t="s">
        <v>276</v>
      </c>
      <c r="C4" s="2" t="s">
        <v>277</v>
      </c>
      <c r="D4" s="2" t="s">
        <v>278</v>
      </c>
    </row>
    <row r="5" customFormat="false" ht="46.5" hidden="false" customHeight="true" outlineLevel="0" collapsed="false">
      <c r="A5" s="3" t="s">
        <v>279</v>
      </c>
      <c r="B5" s="3" t="s">
        <v>280</v>
      </c>
      <c r="C5" s="3" t="s">
        <v>281</v>
      </c>
      <c r="D5" s="3" t="s">
        <v>282</v>
      </c>
    </row>
    <row r="6" customFormat="false" ht="46.5" hidden="false" customHeight="true" outlineLevel="0" collapsed="false">
      <c r="A6" s="2" t="s">
        <v>283</v>
      </c>
      <c r="B6" s="2" t="s">
        <v>284</v>
      </c>
      <c r="C6" s="2" t="s">
        <v>285</v>
      </c>
      <c r="D6" s="2" t="s">
        <v>286</v>
      </c>
    </row>
    <row r="7" customFormat="false" ht="46.5" hidden="false" customHeight="true" outlineLevel="0" collapsed="false">
      <c r="A7" s="3" t="s">
        <v>287</v>
      </c>
      <c r="B7" s="3" t="s">
        <v>288</v>
      </c>
      <c r="C7" s="3" t="s">
        <v>289</v>
      </c>
      <c r="D7" s="3" t="s">
        <v>290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2026-10-11T15:28:03Z</dcterms:created>
  <dc:creator>openpyxl</dc:creator>
  <dc:description/>
  <dc:language>en-US</dc:language>
  <cp:lastModifiedBy/>
  <dcterms:modified xsi:type="dcterms:W3CDTF">2026-10-11T15:28:03Z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