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假设" sheetId="1" state="visible" r:id="rId1"/>
    <sheet xmlns:r="http://schemas.openxmlformats.org/officeDocument/2006/relationships" name="治理估算" sheetId="2" state="visible" r:id="rId2"/>
    <sheet xmlns:r="http://schemas.openxmlformats.org/officeDocument/2006/relationships" name="稳态收益与偿债" sheetId="3" state="visible" r:id="rId3"/>
    <sheet xmlns:r="http://schemas.openxmlformats.org/officeDocument/2006/relationships" name="25年项目现金流" sheetId="4" state="visible" r:id="rId4"/>
    <sheet xmlns:r="http://schemas.openxmlformats.org/officeDocument/2006/relationships" name="情景及校核值" sheetId="5" state="visible" r:id="rId5"/>
    <sheet xmlns:r="http://schemas.openxmlformats.org/officeDocument/2006/relationships" name="说明与证据" sheetId="6" state="visible" r:id="rId6"/>
    <sheet xmlns:r="http://schemas.openxmlformats.org/officeDocument/2006/relationships" name="密闭除臭分项" sheetId="7" state="visible" r:id="rId7"/>
    <sheet xmlns:r="http://schemas.openxmlformats.org/officeDocument/2006/relationships" name="水设施分项" sheetId="8" state="visible" r:id="rId8"/>
    <sheet xmlns:r="http://schemas.openxmlformats.org/officeDocument/2006/relationships" name="监测分项" sheetId="9" state="visible" r:id="rId9"/>
    <sheet xmlns:r="http://schemas.openxmlformats.org/officeDocument/2006/relationships" name="地下水分项" sheetId="10" state="visible" r:id="rId10"/>
    <sheet xmlns:r="http://schemas.openxmlformats.org/officeDocument/2006/relationships" name="预处理分项" sheetId="11" state="visible" r:id="rId11"/>
    <sheet xmlns:r="http://schemas.openxmlformats.org/officeDocument/2006/relationships" name="水运行量价" sheetId="12" state="visible" r:id="rId12"/>
  </sheets>
  <definedNames>
    <definedName name="_xlnm._FilterDatabase" localSheetId="0" hidden="1">'输入假设'!$A$1:$D$48</definedName>
    <definedName name="_xlnm._FilterDatabase" localSheetId="1" hidden="1">'治理估算'!$A$1:$C$26</definedName>
    <definedName name="_xlnm._FilterDatabase" localSheetId="2" hidden="1">'稳态收益与偿债'!$A$1:$C$16</definedName>
    <definedName name="_xlnm._FilterDatabase" localSheetId="3" hidden="1">'25年项目现金流'!$A$1:$O$29</definedName>
    <definedName name="_xlnm._FilterDatabase" localSheetId="4" hidden="1">'情景及校核值'!$A$1:$C$21</definedName>
    <definedName name="_xlnm._FilterDatabase" localSheetId="5" hidden="1">'说明与证据'!$A$1:$B$11</definedName>
    <definedName name="_xlnm._FilterDatabase" localSheetId="6" hidden="1">'密闭除臭分项'!$A$1:$F$11</definedName>
    <definedName name="_xlnm._FilterDatabase" localSheetId="7" hidden="1">'水设施分项'!$A$1:$F$11</definedName>
    <definedName name="_xlnm._FilterDatabase" localSheetId="8" hidden="1">'监测分项'!$A$1:$F$12</definedName>
    <definedName name="_xlnm._FilterDatabase" localSheetId="9" hidden="1">'地下水分项'!$A$1:$F$8</definedName>
    <definedName name="_xlnm._FilterDatabase" localSheetId="10" hidden="1">'预处理分项'!$A$1:$F$9</definedName>
    <definedName name="_xlnm._FilterDatabase" localSheetId="11" hidden="1">'水运行量价'!$A$1:$F$8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color rgb="00173B52"/>
      <sz val="10"/>
    </font>
    <font>
      <name val="微软雅黑"/>
      <color rgb="00147DB3"/>
      <sz val="10"/>
    </font>
    <font>
      <name val="微软雅黑"/>
      <color rgb="00174775"/>
      <sz val="10"/>
    </font>
  </fonts>
  <fills count="5">
    <fill>
      <patternFill/>
    </fill>
    <fill>
      <patternFill patternType="gray125"/>
    </fill>
    <fill>
      <patternFill patternType="solid">
        <fgColor rgb="00173B52"/>
      </patternFill>
    </fill>
    <fill>
      <patternFill patternType="solid">
        <fgColor rgb="00EEF5F5"/>
      </patternFill>
    </fill>
    <fill>
      <patternFill patternType="solid">
        <fgColor rgb="001747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1" fillId="4" borderId="0" pivotButton="0" quotePrefix="0" xfId="0"/>
    <xf numFmtId="0" fontId="4" fillId="0" borderId="0" applyAlignment="1" pivotButton="0" quotePrefix="0" xfId="0">
      <alignment vertical="top" wrapText="1"/>
    </xf>
    <xf numFmtId="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48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23" customWidth="1" min="2" max="2"/>
    <ns0:col width="23" customWidth="1" min="3" max="3"/>
    <ns0:col width="23" customWidth="1" min="4" max="4"/>
  </ns0:cols>
  <ns0:sheetData>
    <ns0:row r="1" ht="32" customHeight="1">
      <ns0:c r="A1" s="1" t="inlineStr">
        <ns0:is>
          <ns0:t>参数</ns0:t>
        </ns0:is>
      </ns0:c>
      <ns0:c r="B1" s="1" t="inlineStr">
        <ns0:is>
          <ns0:t>单位</ns0:t>
        </ns0:is>
      </ns0:c>
      <ns0:c r="C1" s="1" t="inlineStr">
        <ns0:is>
          <ns0:t>数值</ns0:t>
        </ns0:is>
      </ns0:c>
      <ns0:c r="D1" s="1" t="inlineStr">
        <ns0:is>
          <ns0:t>证据/用途</ns0:t>
        </ns0:is>
      </ns0:c>
    </ns0:row>
    <ns0:row r="2" ht="30" customHeight="1">
      <ns0:c r="A2" s="2" t="inlineStr">
        <ns0:is>
          <ns0:t>垃圾体积</ns0:t>
        </ns0:is>
      </ns0:c>
      <ns0:c r="B2" s="2" t="inlineStr">
        <ns0:is>
          <ns0:t>m³</ns0:t>
        </ns0:is>
      </ns0:c>
      <ns0:c r="C2" s="3" t="n">
        <ns0:v>2500000</ns0:v>
      </ns0:c>
      <ns0:c r="D2" s="2" t="inlineStr">
        <ns0:is>
          <ns0:t>测算假设；现行处理量与单价来源S1，其余待核实</ns0:t>
        </ns0:is>
      </ns0:c>
    </ns0:row>
    <ns0:row r="3" ht="30" customHeight="1">
      <ns0:c r="A3" s="4" t="inlineStr">
        <ns0:is>
          <ns0:t>堆积密度</ns0:t>
        </ns0:is>
      </ns0:c>
      <ns0:c r="B3" s="4" t="inlineStr">
        <ns0:is>
          <ns0:t>t/m³</ns0:t>
        </ns0:is>
      </ns0:c>
      <ns0:c r="C3" s="5" t="n">
        <ns0:v>0.85</ns0:v>
      </ns0:c>
      <ns0:c r="D3" s="4" t="inlineStr">
        <ns0:is>
          <ns0:t>测算假设；现行处理量与单价来源S1，其余待核实</ns0:t>
        </ns0:is>
      </ns0:c>
    </ns0:row>
    <ns0:row r="4" ht="30" customHeight="1">
      <ns0:c r="A4" s="2" t="inlineStr">
        <ns0:is>
          <ns0:t>可燃物比例</ns0:t>
        </ns0:is>
      </ns0:c>
      <ns0:c r="B4" s="2" t="inlineStr">
        <ns0:is>
          <ns0:t>%</ns0:t>
        </ns0:is>
      </ns0:c>
      <ns0:c r="C4" s="6" t="n">
        <ns0:v>0.25</ns0:v>
      </ns0:c>
      <ns0:c r="D4" s="2" t="inlineStr">
        <ns0:is>
          <ns0:t>测算假设；现行处理量与单价来源S1，其余待核实</ns0:t>
        </ns0:is>
      </ns0:c>
    </ns0:row>
    <ns0:row r="5" ht="30" customHeight="1">
      <ns0:c r="A5" s="4" t="inlineStr">
        <ns0:is>
          <ns0:t>筛下物比例</ns0:t>
        </ns0:is>
      </ns0:c>
      <ns0:c r="B5" s="4" t="inlineStr">
        <ns0:is>
          <ns0:t>%</ns0:t>
        </ns0:is>
      </ns0:c>
      <ns0:c r="C5" s="7" t="n">
        <ns0:v>0.55</ns0:v>
      </ns0:c>
      <ns0:c r="D5" s="4" t="inlineStr">
        <ns0:is>
          <ns0:t>测算假设；现行处理量与单价来源S1，其余待核实</ns0:t>
        </ns0:is>
      </ns0:c>
    </ns0:row>
    <ns0:row r="6" ht="30" customHeight="1">
      <ns0:c r="A6" s="2" t="inlineStr">
        <ns0:is>
          <ns0:t>无机物比例</ns0:t>
        </ns0:is>
      </ns0:c>
      <ns0:c r="B6" s="2" t="inlineStr">
        <ns0:is>
          <ns0:t>%</ns0:t>
        </ns0:is>
      </ns0:c>
      <ns0:c r="C6" s="6" t="n">
        <ns0:v>0.19</ns0:v>
      </ns0:c>
      <ns0:c r="D6" s="2" t="inlineStr">
        <ns0:is>
          <ns0:t>测算假设；现行处理量与单价来源S1，其余待核实</ns0:t>
        </ns0:is>
      </ns0:c>
    </ns0:row>
    <ns0:row r="7" ht="30" customHeight="1">
      <ns0:c r="A7" s="4" t="inlineStr">
        <ns0:is>
          <ns0:t>金属比例</ns0:t>
        </ns0:is>
      </ns0:c>
      <ns0:c r="B7" s="4" t="inlineStr">
        <ns0:is>
          <ns0:t>%</ns0:t>
        </ns0:is>
      </ns0:c>
      <ns0:c r="C7" s="7" t="n">
        <ns0:v>0.01</ns0:v>
      </ns0:c>
      <ns0:c r="D7" s="4" t="inlineStr">
        <ns0:is>
          <ns0:t>测算假设；现行处理量与单价来源S1，其余待核实</ns0:t>
        </ns0:is>
      </ns0:c>
    </ns0:row>
    <ns0:row r="8" ht="30" customHeight="1">
      <ns0:c r="A8" s="2" t="inlineStr">
        <ns0:is>
          <ns0:t>筛下物合规利用比例</ns0:t>
        </ns0:is>
      </ns0:c>
      <ns0:c r="B8" s="2" t="inlineStr">
        <ns0:is>
          <ns0:t>%</ns0:t>
        </ns0:is>
      </ns0:c>
      <ns0:c r="C8" s="6" t="n">
        <ns0:v>0.6</ns0:v>
      </ns0:c>
      <ns0:c r="D8" s="2" t="inlineStr">
        <ns0:is>
          <ns0:t>测算假设；现行处理量与单价来源S1，其余待核实</ns0:t>
        </ns0:is>
      </ns0:c>
    </ns0:row>
    <ns0:row r="9" ht="30" customHeight="1">
      <ns0:c r="A9" s="4" t="inlineStr">
        <ns0:is>
          <ns0:t>预处理单价</ns0:t>
        </ns0:is>
      </ns0:c>
      <ns0:c r="B9" s="4" t="inlineStr">
        <ns0:is>
          <ns0:t>元/m³</ns0:t>
        </ns0:is>
      </ns0:c>
      <ns0:c r="C9" s="5" t="n">
        <ns0:v>35</ns0:v>
      </ns0:c>
      <ns0:c r="D9" s="4" t="inlineStr">
        <ns0:is>
          <ns0:t>测算假设；现行处理量与单价来源S1，其余待核实</ns0:t>
        </ns0:is>
      </ns0:c>
    </ns0:row>
    <ns0:row r="10" ht="30" customHeight="1">
      <ns0:c r="A10" s="2" t="inlineStr">
        <ns0:is>
          <ns0:t>开挖单价</ns0:t>
        </ns0:is>
      </ns0:c>
      <ns0:c r="B10" s="2" t="inlineStr">
        <ns0:is>
          <ns0:t>元/m³</ns0:t>
        </ns0:is>
      </ns0:c>
      <ns0:c r="C10" s="3" t="n">
        <ns0:v>35</ns0:v>
      </ns0:c>
      <ns0:c r="D10" s="2" t="inlineStr">
        <ns0:is>
          <ns0:t>测算假设；现行处理量与单价来源S1，其余待核实</ns0:t>
        </ns0:is>
      </ns0:c>
    </ns0:row>
    <ns0:row r="11" ht="30" customHeight="1">
      <ns0:c r="A11" s="4" t="inlineStr">
        <ns0:is>
          <ns0:t>筛分运行单价</ns0:t>
        </ns0:is>
      </ns0:c>
      <ns0:c r="B11" s="4" t="inlineStr">
        <ns0:is>
          <ns0:t>元/t</ns0:t>
        </ns0:is>
      </ns0:c>
      <ns0:c r="C11" s="5" t="n">
        <ns0:v>80</ns0:v>
      </ns0:c>
      <ns0:c r="D11" s="4" t="inlineStr">
        <ns0:is>
          <ns0:t>测算假设；现行处理量与单价来源S1，其余待核实</ns0:t>
        </ns0:is>
      </ns0:c>
    </ns0:row>
    <ns0:row r="12" ht="30" customHeight="1">
      <ns0:c r="A12" s="2" t="inlineStr">
        <ns0:is>
          <ns0:t>可燃物外运及处置</ns0:t>
        </ns0:is>
      </ns0:c>
      <ns0:c r="B12" s="2" t="inlineStr">
        <ns0:is>
          <ns0:t>元/t</ns0:t>
        </ns0:is>
      </ns0:c>
      <ns0:c r="C12" s="3" t="n">
        <ns0:v>260</ns0:v>
      </ns0:c>
      <ns0:c r="D12" s="2" t="inlineStr">
        <ns0:is>
          <ns0:t>测算假设；现行处理量与单价来源S1，其余待核实</ns0:t>
        </ns0:is>
      </ns0:c>
    </ns0:row>
    <ns0:row r="13" ht="30" customHeight="1">
      <ns0:c r="A13" s="4" t="inlineStr">
        <ns0:is>
          <ns0:t>筛下物合规利用费用</ns0:t>
        </ns0:is>
      </ns0:c>
      <ns0:c r="B13" s="4" t="inlineStr">
        <ns0:is>
          <ns0:t>元/t</ns0:t>
        </ns0:is>
      </ns0:c>
      <ns0:c r="C13" s="5" t="n">
        <ns0:v>60</ns0:v>
      </ns0:c>
      <ns0:c r="D13" s="4" t="inlineStr">
        <ns0:is>
          <ns0:t>测算假设；现行处理量与单价来源S1，其余待核实</ns0:t>
        </ns0:is>
      </ns0:c>
    </ns0:row>
    <ns0:row r="14" ht="30" customHeight="1">
      <ns0:c r="A14" s="2" t="inlineStr">
        <ns0:is>
          <ns0:t>筛下物其他处置费用</ns0:t>
        </ns0:is>
      </ns0:c>
      <ns0:c r="B14" s="2" t="inlineStr">
        <ns0:is>
          <ns0:t>元/t</ns0:t>
        </ns0:is>
      </ns0:c>
      <ns0:c r="C14" s="3" t="n">
        <ns0:v>260</ns0:v>
      </ns0:c>
      <ns0:c r="D14" s="2" t="inlineStr">
        <ns0:is>
          <ns0:t>测算假设；现行处理量与单价来源S1，其余待核实</ns0:t>
        </ns0:is>
      </ns0:c>
    </ns0:row>
    <ns0:row r="15" ht="30" customHeight="1">
      <ns0:c r="A15" s="4" t="inlineStr">
        <ns0:is>
          <ns0:t>无机物外运及处理</ns0:t>
        </ns0:is>
      </ns0:c>
      <ns0:c r="B15" s="4" t="inlineStr">
        <ns0:is>
          <ns0:t>元/t</ns0:t>
        </ns0:is>
      </ns0:c>
      <ns0:c r="C15" s="5" t="n">
        <ns0:v>90</ns0:v>
      </ns0:c>
      <ns0:c r="D15" s="4" t="inlineStr">
        <ns0:is>
          <ns0:t>测算假设；现行处理量与单价来源S1，其余待核实</ns0:t>
        </ns0:is>
      </ns0:c>
    </ns0:row>
    <ns0:row r="16" ht="30" customHeight="1">
      <ns0:c r="A16" s="2" t="inlineStr">
        <ns0:is>
          <ns0:t>金属外运整理</ns0:t>
        </ns0:is>
      </ns0:c>
      <ns0:c r="B16" s="2" t="inlineStr">
        <ns0:is>
          <ns0:t>元/t</ns0:t>
        </ns0:is>
      </ns0:c>
      <ns0:c r="C16" s="3" t="n">
        <ns0:v>30</ns0:v>
      </ns0:c>
      <ns0:c r="D16" s="2" t="inlineStr">
        <ns0:is>
          <ns0:t>测算假设；现行处理量与单价来源S1，其余待核实</ns0:t>
        </ns0:is>
      </ns0:c>
    </ns0:row>
    <ns0:row r="17" ht="30" customHeight="1">
      <ns0:c r="A17" s="4" t="inlineStr">
        <ns0:is>
          <ns0:t>其他费用率</ns0:t>
        </ns0:is>
      </ns0:c>
      <ns0:c r="B17" s="4" t="inlineStr">
        <ns0:is>
          <ns0:t>%</ns0:t>
        </ns0:is>
      </ns0:c>
      <ns0:c r="C17" s="7" t="n">
        <ns0:v>0.08</ns0:v>
      </ns0:c>
      <ns0:c r="D17" s="4" t="inlineStr">
        <ns0:is>
          <ns0:t>测算假设；现行处理量与单价来源S1，其余待核实</ns0:t>
        </ns0:is>
      </ns0:c>
    </ns0:row>
    <ns0:row r="18" ht="30" customHeight="1">
      <ns0:c r="A18" s="2" t="inlineStr">
        <ns0:is>
          <ns0:t>预备费率</ns0:t>
        </ns0:is>
      </ns0:c>
      <ns0:c r="B18" s="2" t="inlineStr">
        <ns0:is>
          <ns0:t>%</ns0:t>
        </ns0:is>
      </ns0:c>
      <ns0:c r="C18" s="6" t="n">
        <ns0:v>0.15</ns0:v>
      </ns0:c>
      <ns0:c r="D18" s="2" t="inlineStr">
        <ns0:is>
          <ns0:t>测算假设；现行处理量与单价来源S1，其余待核实</ns0:t>
        </ns0:is>
      </ns0:c>
    </ns0:row>
    <ns0:row r="19" ht="30" customHeight="1">
      <ns0:c r="A19" s="4" t="inlineStr">
        <ns0:is>
          <ns0:t>产业开发</ns0:t>
        </ns0:is>
      </ns0:c>
      <ns0:c r="B19" s="4" t="inlineStr">
        <ns0:is>
          <ns0:t>万元</ns0:t>
        </ns0:is>
      </ns0:c>
      <ns0:c r="C19" s="5" t="n">
        <ns0:v>76800</ns0:v>
      </ns0:c>
      <ns0:c r="D19" s="4" t="inlineStr">
        <ns0:is>
          <ns0:t>测算假设；现行处理量与单价来源S1，其余待核实</ns0:t>
        </ns0:is>
      </ns0:c>
    </ns0:row>
    <ns0:row r="20" ht="30" customHeight="1">
      <ns0:c r="A20" s="2" t="inlineStr">
        <ns0:is>
          <ns0:t>土地取得费用假设</ns0:t>
        </ns0:is>
      </ns0:c>
      <ns0:c r="B20" s="2" t="inlineStr">
        <ns0:is>
          <ns0:t>万元</ns0:t>
        </ns0:is>
      </ns0:c>
      <ns0:c r="C20" s="3" t="n">
        <ns0:v>10000</ns0:v>
      </ns0:c>
      <ns0:c r="D20" s="2" t="inlineStr">
        <ns0:is>
          <ns0:t>测算假设；现行处理量与单价来源S1，其余待核实</ns0:t>
        </ns0:is>
      </ns0:c>
    </ns0:row>
    <ns0:row r="21" ht="30" customHeight="1">
      <ns0:c r="A21" s="4" t="inlineStr">
        <ns0:is>
          <ns0:t>建设期利息筹资预算</ns0:t>
        </ns0:is>
      </ns0:c>
      <ns0:c r="B21" s="4" t="inlineStr">
        <ns0:is>
          <ns0:t>万元</ns0:t>
        </ns0:is>
      </ns0:c>
      <ns0:c r="C21" s="5" t="n">
        <ns0:v>9500</ns0:v>
      </ns0:c>
      <ns0:c r="D21" s="4" t="inlineStr">
        <ns0:is>
          <ns0:t>测算假设；现行处理量与单价来源S1，其余待核实</ns0:t>
        </ns0:is>
      </ns0:c>
    </ns0:row>
    <ns0:row r="22" ht="30" customHeight="1">
      <ns0:c r="A22" s="2" t="inlineStr">
        <ns0:is>
          <ns0:t>流动资金</ns0:t>
        </ns0:is>
      </ns0:c>
      <ns0:c r="B22" s="2" t="inlineStr">
        <ns0:is>
          <ns0:t>万元</ns0:t>
        </ns0:is>
      </ns0:c>
      <ns0:c r="C22" s="3" t="n">
        <ns0:v>3000</ns0:v>
      </ns0:c>
      <ns0:c r="D22" s="2" t="inlineStr">
        <ns0:is>
          <ns0:t>测算假设；现行处理量与单价来源S1，其余待核实</ns0:t>
        </ns0:is>
      </ns0:c>
    </ns0:row>
    <ns0:row r="23" ht="30" customHeight="1">
      <ns0:c r="A23" s="4" t="inlineStr">
        <ns0:is>
          <ns0:t>冷链建筑面积</ns0:t>
        </ns0:is>
      </ns0:c>
      <ns0:c r="B23" s="4" t="inlineStr">
        <ns0:is>
          <ns0:t>m²</ns0:t>
        </ns0:is>
      </ns0:c>
      <ns0:c r="C23" s="5" t="n">
        <ns0:v>120000</ns0:v>
      </ns0:c>
      <ns0:c r="D23" s="4" t="inlineStr">
        <ns0:is>
          <ns0:t>测算假设；现行处理量与单价来源S1，其余待核实</ns0:t>
        </ns0:is>
      </ns0:c>
    </ns0:row>
    <ns0:row r="24" ht="30" customHeight="1">
      <ns0:c r="A24" s="2" t="inlineStr">
        <ns0:is>
          <ns0:t>沉香建筑面积</ns0:t>
        </ns0:is>
      </ns0:c>
      <ns0:c r="B24" s="2" t="inlineStr">
        <ns0:is>
          <ns0:t>m²</ns0:t>
        </ns0:is>
      </ns0:c>
      <ns0:c r="C24" s="3" t="n">
        <ns0:v>40000</ns0:v>
      </ns0:c>
      <ns0:c r="D24" s="2" t="inlineStr">
        <ns0:is>
          <ns0:t>测算假设；现行处理量与单价来源S1，其余待核实</ns0:t>
        </ns0:is>
      </ns0:c>
    </ns0:row>
    <ns0:row r="25" ht="30" customHeight="1">
      <ns0:c r="A25" s="4" t="inlineStr">
        <ns0:is>
          <ns0:t>冷链可计费面积系数</ns0:t>
        </ns0:is>
      </ns0:c>
      <ns0:c r="B25" s="4" t="inlineStr">
        <ns0:is>
          <ns0:t>%</ns0:t>
        </ns0:is>
      </ns0:c>
      <ns0:c r="C25" s="7" t="n">
        <ns0:v>0.75</ns0:v>
      </ns0:c>
      <ns0:c r="D25" s="4" t="inlineStr">
        <ns0:is>
          <ns0:t>测算假设；现行处理量与单价来源S1，其余待核实</ns0:t>
        </ns0:is>
      </ns0:c>
    </ns0:row>
    <ns0:row r="26" ht="30" customHeight="1">
      <ns0:c r="A26" s="2" t="inlineStr">
        <ns0:is>
          <ns0:t>沉香可出租面积系数</ns0:t>
        </ns0:is>
      </ns0:c>
      <ns0:c r="B26" s="2" t="inlineStr">
        <ns0:is>
          <ns0:t>%</ns0:t>
        </ns0:is>
      </ns0:c>
      <ns0:c r="C26" s="6" t="n">
        <ns0:v>0.8</ns0:v>
      </ns0:c>
      <ns0:c r="D26" s="2" t="inlineStr">
        <ns0:is>
          <ns0:t>测算假设；现行处理量与单价来源S1，其余待核实</ns0:t>
        </ns0:is>
      </ns0:c>
    </ns0:row>
    <ns0:row r="27" ht="30" customHeight="1">
      <ns0:c r="A27" s="4" t="inlineStr">
        <ns0:is>
          <ns0:t>稳态出租率</ns0:t>
        </ns0:is>
      </ns0:c>
      <ns0:c r="B27" s="4" t="inlineStr">
        <ns0:is>
          <ns0:t>%</ns0:t>
        </ns0:is>
      </ns0:c>
      <ns0:c r="C27" s="7" t="n">
        <ns0:v>0.85</ns0:v>
      </ns0:c>
      <ns0:c r="D27" s="4" t="inlineStr">
        <ns0:is>
          <ns0:t>测算假设；现行处理量与单价来源S1，其余待核实</ns0:t>
        </ns0:is>
      </ns0:c>
    </ns0:row>
    <ns0:row r="28" ht="30" customHeight="1">
      <ns0:c r="A28" s="2" t="inlineStr">
        <ns0:is>
          <ns0:t>冷链全服务单价</ns0:t>
        </ns0:is>
      </ns0:c>
      <ns0:c r="B28" s="2" t="inlineStr">
        <ns0:is>
          <ns0:t>元/m²·日</ns0:t>
        </ns0:is>
      </ns0:c>
      <ns0:c r="C28" s="3" t="n">
        <ns0:v>3</ns0:v>
      </ns0:c>
      <ns0:c r="D28" s="2" t="inlineStr">
        <ns0:is>
          <ns0:t>测算假设；现行处理量与单价来源S1，其余待核实</ns0:t>
        </ns0:is>
      </ns0:c>
    </ns0:row>
    <ns0:row r="29" ht="30" customHeight="1">
      <ns0:c r="A29" s="4" t="inlineStr">
        <ns0:is>
          <ns0:t>沉香租金</ns0:t>
        </ns0:is>
      </ns0:c>
      <ns0:c r="B29" s="4" t="inlineStr">
        <ns0:is>
          <ns0:t>元/m²·月</ns0:t>
        </ns0:is>
      </ns0:c>
      <ns0:c r="C29" s="5" t="n">
        <ns0:v>30</ns0:v>
      </ns0:c>
      <ns0:c r="D29" s="4" t="inlineStr">
        <ns0:is>
          <ns0:t>测算假设；现行处理量与单价来源S1，其余待核实</ns0:t>
        </ns0:is>
      </ns0:c>
    </ns0:row>
    <ns0:row r="30" ht="30" customHeight="1">
      <ns0:c r="A30" s="2" t="inlineStr">
        <ns0:is>
          <ns0:t>产业服务收入（稳态）</ns0:t>
        </ns0:is>
      </ns0:c>
      <ns0:c r="B30" s="2" t="inlineStr">
        <ns0:is>
          <ns0:t>万元/年</ns0:t>
        </ns0:is>
      </ns0:c>
      <ns0:c r="C30" s="3" t="n">
        <ns0:v>1800</ns0:v>
      </ns0:c>
      <ns0:c r="D30" s="2" t="inlineStr">
        <ns0:is>
          <ns0:t>测算假设；现行处理量与单价来源S1，其余待核实</ns0:t>
        </ns0:is>
      </ns0:c>
    </ns0:row>
    <ns0:row r="31" ht="30" customHeight="1">
      <ns0:c r="A31" s="4" t="inlineStr">
        <ns0:is>
          <ns0:t>冷链现金成本率</ns0:t>
        </ns0:is>
      </ns0:c>
      <ns0:c r="B31" s="4" t="inlineStr">
        <ns0:is>
          <ns0:t>%</ns0:t>
        </ns0:is>
      </ns0:c>
      <ns0:c r="C31" s="7" t="n">
        <ns0:v>0.55</ns0:v>
      </ns0:c>
      <ns0:c r="D31" s="4" t="inlineStr">
        <ns0:is>
          <ns0:t>测算假设；现行处理量与单价来源S1，其余待核实</ns0:t>
        </ns0:is>
      </ns0:c>
    </ns0:row>
    <ns0:row r="32" ht="30" customHeight="1">
      <ns0:c r="A32" s="2" t="inlineStr">
        <ns0:is>
          <ns0:t>沉香现金成本率</ns0:t>
        </ns0:is>
      </ns0:c>
      <ns0:c r="B32" s="2" t="inlineStr">
        <ns0:is>
          <ns0:t>%</ns0:t>
        </ns0:is>
      </ns0:c>
      <ns0:c r="C32" s="6" t="n">
        <ns0:v>0.35</ns0:v>
      </ns0:c>
      <ns0:c r="D32" s="2" t="inlineStr">
        <ns0:is>
          <ns0:t>测算假设；现行处理量与单价来源S1，其余待核实</ns0:t>
        </ns0:is>
      </ns0:c>
    </ns0:row>
    <ns0:row r="33" ht="30" customHeight="1">
      <ns0:c r="A33" s="4" t="inlineStr">
        <ns0:is>
          <ns0:t>服务现金成本率</ns0:t>
        </ns0:is>
      </ns0:c>
      <ns0:c r="B33" s="4" t="inlineStr">
        <ns0:is>
          <ns0:t>%</ns0:t>
        </ns0:is>
      </ns0:c>
      <ns0:c r="C33" s="7" t="n">
        <ns0:v>0.65</ns0:v>
      </ns0:c>
      <ns0:c r="D33" s="4" t="inlineStr">
        <ns0:is>
          <ns0:t>测算假设；现行处理量与单价来源S1，其余待核实</ns0:t>
        </ns0:is>
      </ns0:c>
    </ns0:row>
    <ns0:row r="34" ht="30" customHeight="1">
      <ns0:c r="A34" s="2" t="inlineStr">
        <ns0:is>
          <ns0:t>管理现金费用</ns0:t>
        </ns0:is>
      </ns0:c>
      <ns0:c r="B34" s="2" t="inlineStr">
        <ns0:is>
          <ns0:t>万元/年</ns0:t>
        </ns0:is>
      </ns0:c>
      <ns0:c r="C34" s="3" t="n">
        <ns0:v>200</ns0:v>
      </ns0:c>
      <ns0:c r="D34" s="2" t="inlineStr">
        <ns0:is>
          <ns0:t>测算假设；现行处理量与单价来源S1，其余待核实</ns0:t>
        </ns0:is>
      </ns0:c>
    </ns0:row>
    <ns0:row r="35" ht="30" customHeight="1">
      <ns0:c r="A35" s="4" t="inlineStr">
        <ns0:is>
          <ns0:t>治理后环境运维</ns0:t>
        </ns0:is>
      </ns0:c>
      <ns0:c r="B35" s="4" t="inlineStr">
        <ns0:is>
          <ns0:t>万元/年</ns0:t>
        </ns0:is>
      </ns0:c>
      <ns0:c r="C35" s="5" t="n">
        <ns0:v>150</ns0:v>
      </ns0:c>
      <ns0:c r="D35" s="4" t="inlineStr">
        <ns0:is>
          <ns0:t>测算假设；现行处理量与单价来源S1，其余待核实</ns0:t>
        </ns0:is>
      </ns0:c>
    </ns0:row>
    <ns0:row r="36" ht="30" customHeight="1">
      <ns0:c r="A36" s="2" t="inlineStr">
        <ns0:is>
          <ns0:t>年度维护再投入</ns0:t>
        </ns0:is>
      </ns0:c>
      <ns0:c r="B36" s="2" t="inlineStr">
        <ns0:is>
          <ns0:t>万元/年</ns0:t>
        </ns0:is>
      </ns0:c>
      <ns0:c r="C36" s="3" t="n">
        <ns0:v>300</ns0:v>
      </ns0:c>
      <ns0:c r="D36" s="2" t="inlineStr">
        <ns0:is>
          <ns0:t>测算假设；现行处理量与单价来源S1，其余待核实</ns0:t>
        </ns0:is>
      </ns0:c>
    </ns0:row>
    <ns0:row r="37" ht="30" customHeight="1">
      <ns0:c r="A37" s="4" t="inlineStr">
        <ns0:is>
          <ns0:t>折旧年限</ns0:t>
        </ns0:is>
      </ns0:c>
      <ns0:c r="B37" s="4" t="inlineStr">
        <ns0:is>
          <ns0:t>年</ns0:t>
        </ns0:is>
      </ns0:c>
      <ns0:c r="C37" s="5" t="n">
        <ns0:v>20</ns0:v>
      </ns0:c>
      <ns0:c r="D37" s="4" t="inlineStr">
        <ns0:is>
          <ns0:t>测算假设；现行处理量与单价来源S1，其余待核实</ns0:t>
        </ns0:is>
      </ns0:c>
    </ns0:row>
    <ns0:row r="38" ht="30" customHeight="1">
      <ns0:c r="A38" s="2" t="inlineStr">
        <ns0:is>
          <ns0:t>所得税率（简化）</ns0:t>
        </ns0:is>
      </ns0:c>
      <ns0:c r="B38" s="2" t="inlineStr">
        <ns0:is>
          <ns0:t>%</ns0:t>
        </ns0:is>
      </ns0:c>
      <ns0:c r="C38" s="6" t="n">
        <ns0:v>0.25</ns0:v>
      </ns0:c>
      <ns0:c r="D38" s="2" t="inlineStr">
        <ns0:is>
          <ns0:t>测算假设；现行处理量与单价来源S1，其余待核实</ns0:t>
        </ns0:is>
      </ns0:c>
    </ns0:row>
    <ns0:row r="39" ht="30" customHeight="1">
      <ns0:c r="A39" s="4" t="inlineStr">
        <ns0:is>
          <ns0:t>贷款利率</ns0:t>
        </ns0:is>
      </ns0:c>
      <ns0:c r="B39" s="4" t="inlineStr">
        <ns0:is>
          <ns0:t>%</ns0:t>
        </ns0:is>
      </ns0:c>
      <ns0:c r="C39" s="7" t="n">
        <ns0:v>0.035</ns0:v>
      </ns0:c>
      <ns0:c r="D39" s="4" t="inlineStr">
        <ns0:is>
          <ns0:t>测算假设；现行处理量与单价来源S1，其余待核实</ns0:t>
        </ns0:is>
      </ns0:c>
    </ns0:row>
    <ns0:row r="40" ht="30" customHeight="1">
      <ns0:c r="A40" s="2" t="inlineStr">
        <ns0:is>
          <ns0:t>贷款还本期限</ns0:t>
        </ns0:is>
      </ns0:c>
      <ns0:c r="B40" s="2" t="inlineStr">
        <ns0:is>
          <ns0:t>年</ns0:t>
        </ns0:is>
      </ns0:c>
      <ns0:c r="C40" s="3" t="n">
        <ns0:v>20</ns0:v>
      </ns0:c>
      <ns0:c r="D40" s="2" t="inlineStr">
        <ns0:is>
          <ns0:t>测算假设；现行处理量与单价来源S1，其余待核实</ns0:t>
        </ns0:is>
      </ns0:c>
    </ns0:row>
    <ns0:row r="41" ht="30" customHeight="1">
      <ns0:c r="A41" s="4" t="inlineStr">
        <ns0:is>
          <ns0:t>假设贷款比例</ns0:t>
        </ns0:is>
      </ns0:c>
      <ns0:c r="B41" s="4" t="inlineStr">
        <ns0:is>
          <ns0:t>%</ns0:t>
        </ns0:is>
      </ns0:c>
      <ns0:c r="C41" s="7" t="n">
        <ns0:v>0.7</ns0:v>
      </ns0:c>
      <ns0:c r="D41" s="4" t="inlineStr">
        <ns0:is>
          <ns0:t>测算假设；现行处理量与单价来源S1，其余待核实</ns0:t>
        </ns0:is>
      </ns0:c>
    </ns0:row>
    <ns0:row r="42" ht="30" customHeight="1">
      <ns0:c r="A42" s="2" t="inlineStr">
        <ns0:is>
          <ns0:t>审慎DSCR目标</ns0:t>
        </ns0:is>
      </ns0:c>
      <ns0:c r="B42" s="2" t="inlineStr">
        <ns0:is>
          <ns0:t>倍</ns0:t>
        </ns0:is>
      </ns0:c>
      <ns0:c r="C42" s="3" t="n">
        <ns0:v>1.3</ns0:v>
      </ns0:c>
      <ns0:c r="D42" s="2" t="inlineStr">
        <ns0:is>
          <ns0:t>测算假设；现行处理量与单价来源S1，其余待核实</ns0:t>
        </ns0:is>
      </ns0:c>
    </ns0:row>
    <ns0:row r="43" ht="30" customHeight="1">
      <ns0:c r="A43" s="4" t="inlineStr">
        <ns0:is>
          <ns0:t>项目折现率</ns0:t>
        </ns0:is>
      </ns0:c>
      <ns0:c r="B43" s="4" t="inlineStr">
        <ns0:is>
          <ns0:t>%</ns0:t>
        </ns0:is>
      </ns0:c>
      <ns0:c r="C43" s="7" t="n">
        <ns0:v>0.06</ns0:v>
      </ns0:c>
      <ns0:c r="D43" s="4" t="inlineStr">
        <ns0:is>
          <ns0:t>测算假设；现行处理量与单价来源S1，其余待核实</ns0:t>
        </ns0:is>
      </ns0:c>
    </ns0:row>
    <ns0:row r="44" ht="30" customHeight="1">
      <ns0:c r="A44" s="2" t="inlineStr">
        <ns0:is>
          <ns0:t>现状渗滤液平均处理量</ns0:t>
        </ns0:is>
      </ns0:c>
      <ns0:c r="B44" s="2" t="inlineStr">
        <ns0:is>
          <ns0:t>t/d</ns0:t>
        </ns0:is>
      </ns0:c>
      <ns0:c r="C44" s="3" t="n">
        <ns0:v>170</ns0:v>
      </ns0:c>
      <ns0:c r="D44" s="2" t="inlineStr">
        <ns0:is>
          <ns0:t>测算假设；现行处理量与单价来源S1，其余待核实</ns0:t>
        </ns0:is>
      </ns0:c>
    </ns0:row>
    <ns0:row r="45" ht="30" customHeight="1">
      <ns0:c r="A45" s="4" t="inlineStr">
        <ns0:is>
          <ns0:t>现行处理单价（附件）</ns0:t>
        </ns0:is>
      </ns0:c>
      <ns0:c r="B45" s="4" t="inlineStr">
        <ns0:is>
          <ns0:t>元/t</ns0:t>
        </ns0:is>
      </ns0:c>
      <ns0:c r="C45" s="5" t="n">
        <ns0:v>115</ns0:v>
      </ns0:c>
      <ns0:c r="D45" s="4" t="inlineStr">
        <ns0:is>
          <ns0:t>测算假设；现行处理量与单价来源S1，其余待核实</ns0:t>
        </ns0:is>
      </ns0:c>
    </ns0:row>
    <ns0:row r="46" ht="30" customHeight="1">
      <ns0:c r="A46" s="2" t="inlineStr">
        <ns0:is>
          <ns0:t>浓缩液外运量</ns0:t>
        </ns0:is>
      </ns0:c>
      <ns0:c r="B46" s="2" t="inlineStr">
        <ns0:is>
          <ns0:t>t/d</ns0:t>
        </ns0:is>
      </ns0:c>
      <ns0:c r="C46" s="3" t="n">
        <ns0:v>20</ns0:v>
      </ns0:c>
      <ns0:c r="D46" s="2" t="inlineStr">
        <ns0:is>
          <ns0:t>测算假设；现行处理量与单价来源S1，其余待核实</ns0:t>
        </ns0:is>
      </ns0:c>
    </ns0:row>
    <ns0:row r="47" ht="30" customHeight="1">
      <ns0:c r="A47" s="4" t="inlineStr">
        <ns0:is>
          <ns0:t>浓缩液处理单价假设</ns0:t>
        </ns0:is>
      </ns0:c>
      <ns0:c r="B47" s="4" t="inlineStr">
        <ns0:is>
          <ns0:t>元/t</ns0:t>
        </ns0:is>
      </ns0:c>
      <ns0:c r="C47" s="5" t="n">
        <ns0:v>300</ns0:v>
      </ns0:c>
      <ns0:c r="D47" s="4" t="inlineStr">
        <ns0:is>
          <ns0:t>测算假设；现行处理量与单价来源S1，其余待核实</ns0:t>
        </ns0:is>
      </ns0:c>
    </ns0:row>
    <ns0:row r="48" ht="30" customHeight="1">
      <ns0:c r="A48" s="2" t="inlineStr">
        <ns0:is>
          <ns0:t>其他封场运维假设</ns0:t>
        </ns0:is>
      </ns0:c>
      <ns0:c r="B48" s="2" t="inlineStr">
        <ns0:is>
          <ns0:t>万元/年</ns0:t>
        </ns0:is>
      </ns0:c>
      <ns0:c r="C48" s="3" t="n">
        <ns0:v>150</ns0:v>
      </ns0:c>
      <ns0:c r="D48" s="2" t="inlineStr">
        <ns0:is>
          <ns0:t>测算假设；现行处理量与单价来源S1，其余待核实</ns0:t>
        </ns0:is>
      </ns0:c>
    </ns0:row>
  </ns0:sheetData>
  <ns0:autoFilter ref="A1:D48"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6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23" customWidth="1" min="2" max="2"/>
    <ns0:col width="90" customWidth="1" min="3" max="3"/>
  </ns0:cols>
  <ns0:sheetData>
    <ns0:row r="1" ht="32" customHeight="1">
      <ns0:c r="A1" s="1" t="inlineStr">
        <ns0:is>
          <ns0:t>费用项目</ns0:t>
        </ns0:is>
      </ns0:c>
      <ns0:c r="B1" s="1" t="inlineStr">
        <ns0:is>
          <ns0:t>金额（万元）</ns0:t>
        </ns0:is>
      </ns0:c>
      <ns0:c r="C1" s="1" t="inlineStr">
        <ns0:is>
          <ns0:t>计算口径</ns0:t>
        </ns0:is>
      </ns0:c>
    </ns0:row>
    <ns0:row r="2" ht="38" customHeight="1">
      <ns0:c r="A2" s="2" t="inlineStr">
        <ns0:is>
          <ns0:t>调查、勘察、检测与中试</ns0:t>
        </ns0:is>
      </ns0:c>
      <ns0:c r="B2" s="8" t="n">
        <ns0:v>800</ns0:v>
      </ns0:c>
      <ns0:c r="C2" s="2" t="inlineStr">
        <ns0:is>
          <ns0:t>暂列总额；含工程量核实及试开挖</ns0:t>
        </ns0:is>
      </ns0:c>
    </ns0:row>
    <ns0:row r="3" ht="38" customHeight="1">
      <ns0:c r="A3" s="4" t="inlineStr">
        <ns0:is>
          <ns0:t>堆体降液位与好氧预处理</ns0:t>
        </ns0:is>
      </ns0:c>
      <ns0:c r="B3" s="9">
        <ns0:f>'预处理分项'!F9</ns0:f>
        <ns0:v>8750</ns0:v>
      </ns0:c>
      <ns0:c r="C3" s="4" t="inlineStr">
        <ns0:is>
          <ns0:t>垃圾体积×35元/m³；不含永久地下水治理</ns0:t>
        </ns0:is>
      </ns0:c>
    </ns0:row>
    <ns0:row r="4" ht="38" customHeight="1">
      <ns0:c r="A4" s="2" t="inlineStr">
        <ns0:is>
          <ns0:t>分区开挖与场内短倒</ns0:t>
        </ns0:is>
      </ns0:c>
      <ns0:c r="B4" s="8">
        <ns0:f>'输入假设'!C2*'输入假设'!C10/10000</ns0:f>
        <ns0:v>8750.0</ns0:v>
      </ns0:c>
      <ns0:c r="C4" s="2" t="inlineStr">
        <ns0:is>
          <ns0:t>垃圾体积×35元/m³；不含出场运输</ns0:t>
        </ns0:is>
      </ns0:c>
    </ns0:row>
    <ns0:row r="5" ht="38" customHeight="1">
      <ns0:c r="A5" s="4" t="inlineStr">
        <ns0:is>
          <ns0:t>密闭筛分运行</ns0:t>
        </ns0:is>
      </ns0:c>
      <ns0:c r="B5" s="9">
        <ns0:f>'输入假设'!C2*'输入假设'!C3*'输入假设'!C11/10000</ns0:f>
        <ns0:v>17000.0</ns0:v>
      </ns0:c>
      <ns0:c r="C5" s="4" t="inlineStr">
        <ns0:is>
          <ns0:t>湿质量×80元/t；含设备租赁及运行，不含车间建造</ns0:t>
        </ns0:is>
      </ns0:c>
    </ns0:row>
    <ns0:row r="6" ht="38" customHeight="1">
      <ns0:c r="A6" s="2" t="inlineStr">
        <ns0:is>
          <ns0:t>可燃物外运及处置</ns0:t>
        </ns0:is>
      </ns0:c>
      <ns0:c r="B6" s="8">
        <ns0:f>'输入假设'!C2*'输入假设'!C3*'输入假设'!C4*'输入假设'!C12/10000</ns0:f>
        <ns0:v>13812.5</ns0:v>
      </ns0:c>
      <ns0:c r="C6" s="2" t="inlineStr">
        <ns0:is>
          <ns0:t>25%×(运输80+处置180)元/t</ns0:t>
        </ns0:is>
      </ns0:c>
    </ns0:row>
    <ns0:row r="7" ht="38" customHeight="1">
      <ns0:c r="A7" s="4" t="inlineStr">
        <ns0:is>
          <ns0:t>筛下物外运及利用处置</ns0:t>
        </ns0:is>
      </ns0:c>
      <ns0:c r="B7" s="9">
        <ns0:f>'输入假设'!C2*'输入假设'!C3*'输入假设'!C5*('输入假设'!C8*'输入假设'!C13+(1-'输入假设'!C8)*'输入假设'!C14)/10000</ns0:f>
        <ns0:v>16362.5</ns0:v>
      </ns0:c>
      <ns0:c r="C7" s="4" t="inlineStr">
        <ns0:is>
          <ns0:t>55%×[合规利用率×60+(1−利用率)×260]元/t</ns0:t>
        </ns0:is>
      </ns0:c>
    </ns0:row>
    <ns0:row r="8" ht="38" customHeight="1">
      <ns0:c r="A8" s="2" t="inlineStr">
        <ns0:is>
          <ns0:t>无机惰性物外运及处理</ns0:t>
        </ns0:is>
      </ns0:c>
      <ns0:c r="B8" s="8">
        <ns0:f>'输入假设'!C2*'输入假设'!C3*'输入假设'!C6*'输入假设'!C15/10000</ns0:f>
        <ns0:v>3633.75</ns0:v>
      </ns0:c>
      <ns0:c r="C8" s="2" t="inlineStr">
        <ns0:is>
          <ns0:t>19%×90元/t；不默认全部可作建材</ns0:t>
        </ns0:is>
      </ns0:c>
    </ns0:row>
    <ns0:row r="9" ht="38" customHeight="1">
      <ns0:c r="A9" s="4" t="inlineStr">
        <ns0:is>
          <ns0:t>金属外运及整理</ns0:t>
        </ns0:is>
      </ns0:c>
      <ns0:c r="B9" s="9">
        <ns0:f>'输入假设'!C2*'输入假设'!C3*'输入假设'!C7*'输入假设'!C16/10000</ns0:f>
        <ns0:v>63.75</ns0:v>
      </ns0:c>
      <ns0:c r="C9" s="4" t="inlineStr">
        <ns0:is>
          <ns0:t>1%×30元/t；回收销售收入未抵减投资</ns0:t>
        </ns0:is>
      </ns0:c>
    </ns0:row>
    <ns0:row r="10" ht="38" customHeight="1">
      <ns0:c r="A10" s="2" t="inlineStr">
        <ns0:is>
          <ns0:t>模块化密闭设施及集气除臭</ns0:t>
        </ns0:is>
      </ns0:c>
      <ns0:c r="B10" s="8">
        <ns0:f>'密闭除臭分项'!F11</ns0:f>
        <ns0:v>6200.0</ns0:v>
      </ns0:c>
      <ns0:c r="C10" s="2" t="inlineStr">
        <ns0:is>
          <ns0:t>车间、可迁移罩棚、防渗地坪及集中除臭，暂列总额</ns0:t>
        </ns0:is>
      </ns0:c>
    </ns0:row>
    <ns0:row r="11" ht="38" customHeight="1">
      <ns0:c r="A11" s="4" t="inlineStr">
        <ns0:is>
          <ns0:t>截排水、调蓄与处理设施升级</ns0:t>
        </ns0:is>
      </ns0:c>
      <ns0:c r="B11" s="9">
        <ns0:f>'水设施分项'!F11</ns0:f>
        <ns0:v>2500.0</ns0:v>
      </ns0:c>
      <ns0:c r="C11" s="4" t="inlineStr">
        <ns0:is>
          <ns0:t>含新增300t/d模块、3000m³应急调蓄与300m³浓缩液槽，均待设计询价</ns0:t>
        </ns0:is>
      </ns0:c>
    </ns0:row>
    <ns0:row r="12" ht="38" customHeight="1">
      <ns0:c r="A12" s="2" t="inlineStr">
        <ns0:is>
          <ns0:t>道路、称重、洗车及施工临设</ns0:t>
        </ns0:is>
      </ns0:c>
      <ns0:c r="B12" s="8" t="n">
        <ns0:v>1800</ns0:v>
      </ns0:c>
      <ns0:c r="C12" s="2" t="inlineStr">
        <ns0:is>
          <ns0:t>既有道路升级和临时工程，暂列总额</ns0:t>
        </ns0:is>
      </ns0:c>
    </ns0:row>
    <ns0:row r="13" ht="38" customHeight="1">
      <ns0:c r="A13" s="4" t="inlineStr">
        <ns0:is>
          <ns0:t>施工期渗滤液及浓缩液运行</ns0:t>
        </ns0:is>
      </ns0:c>
      <ns0:c r="B13" s="9">
        <ns0:f>'水运行量价'!F8</ns0:f>
        <ns0:v>9324.125</ns0:v>
      </ns0:c>
      <ns0:c r="C13" s="4" t="inlineStr">
        <ns0:is>
          <ns0:t>5年现状水＋新增开挖水＋独立积存水假设＋浓缩液；量价展开见专项预算</ns0:t>
        </ns0:is>
      </ns0:c>
    </ns0:row>
    <ns0:row r="14" ht="38" customHeight="1">
      <ns0:c r="A14" s="2" t="inlineStr">
        <ns0:is>
          <ns0:t>基底污染土壤修复</ns0:t>
        </ns0:is>
      </ns0:c>
      <ns0:c r="B14" s="8" t="n">
        <ns0:v>2275</ns0:v>
      </ns0:c>
      <ns0:c r="C14" s="2" t="inlineStr">
        <ns0:is>
          <ns0:t>假设3.5万m³×650元/m³；不含垃圾筛下物</ns0:t>
        </ns0:is>
      </ns0:c>
    </ns0:row>
    <ns0:row r="15" ht="38" customHeight="1">
      <ns0:c r="A15" s="4" t="inlineStr">
        <ns0:is>
          <ns0:t>地下水治理及初期跟踪</ns0:t>
        </ns0:is>
      </ns0:c>
      <ns0:c r="B15" s="9">
        <ns0:f>'地下水分项'!F8</ns0:f>
        <ns0:v>1600.0</ns0:v>
      </ns0:c>
      <ns0:c r="C15" s="4" t="inlineStr">
        <ns0:is>
          <ns0:t>暂列总额；不保证地下水在垃圾清场时同步达标</ns0:t>
        </ns0:is>
      </ns0:c>
    </ns0:row>
    <ns0:row r="16" ht="38" customHeight="1">
      <ns0:c r="A16" s="2" t="inlineStr">
        <ns0:is>
          <ns0:t>全过程监测、环保巡查及效果评估</ns0:t>
        </ns0:is>
      </ns0:c>
      <ns0:c r="B16" s="8">
        <ns0:f>'监测分项'!F12</ns0:f>
        <ns0:v>1000.0</ns0:v>
      </ns0:c>
      <ns0:c r="C16" s="2" t="inlineStr">
        <ns0:is>
          <ns0:t>井次、点次等量价分解；工程综合监理另在其他费内，避免重复</ns0:t>
        </ns0:is>
      </ns0:c>
    </ns0:row>
    <ns0:row r="17" ht="38" customHeight="1">
      <ns0:c r="A17" s="4" t="inlineStr">
        <ns0:is>
          <ns0:t>直接费用</ns0:t>
        </ns0:is>
      </ns0:c>
      <ns0:c r="B17" s="9">
        <ns0:f>SUM(B2:B16)</ns0:f>
        <ns0:v>93871.625</ns0:v>
      </ns0:c>
      <ns0:c r="C17" s="4" t="inlineStr">
        <ns0:is>
          <ns0:t>费用项完整列示，金额为概念性估算</ns0:t>
        </ns0:is>
      </ns0:c>
    </ns0:row>
    <ns0:row r="18" ht="38" customHeight="1">
      <ns0:c r="A18" s="2" t="inlineStr">
        <ns0:is>
          <ns0:t>工程建设其他费</ns0:t>
        </ns0:is>
      </ns0:c>
      <ns0:c r="B18" s="8">
        <ns0:f>B17*'输入假设'!C17</ns0:f>
        <ns0:v>7509.7300000000005</ns0:v>
      </ns0:c>
      <ns0:c r="C18" s="2" t="inlineStr">
        <ns0:is>
          <ns0:t>费用项完整列示，金额为概念性估算</ns0:t>
        </ns0:is>
      </ns0:c>
    </ns0:row>
    <ns0:row r="19" ht="38" customHeight="1">
      <ns0:c r="A19" s="4" t="inlineStr">
        <ns0:is>
          <ns0:t>基本预备费</ns0:t>
        </ns0:is>
      </ns0:c>
      <ns0:c r="B19" s="9">
        <ns0:f>(B17+B18)*'输入假设'!C18</ns0:f>
        <ns0:v>15207.203249999999</ns0:v>
      </ns0:c>
      <ns0:c r="C19" s="4" t="inlineStr">
        <ns0:is>
          <ns0:t>费用项完整列示，金额为概念性估算</ns0:t>
        </ns0:is>
      </ns0:c>
    </ns0:row>
    <ns0:row r="20" ht="38" customHeight="1">
      <ns0:c r="A20" s="2" t="inlineStr">
        <ns0:is>
          <ns0:t>治理投资</ns0:t>
        </ns0:is>
      </ns0:c>
      <ns0:c r="B20" s="8">
        <ns0:f>SUM(B17:B19)</ns0:f>
        <ns0:v>116588.55825</ns0:v>
      </ns0:c>
      <ns0:c r="C20" s="2" t="inlineStr">
        <ns0:is>
          <ns0:t>费用项完整列示，金额为概念性估算</ns0:t>
        </ns0:is>
      </ns0:c>
    </ns0:row>
    <ns0:row r="21" ht="38" customHeight="1">
      <ns0:c r="A21" s="4" t="inlineStr">
        <ns0:is>
          <ns0:t>产业开发</ns0:t>
        </ns0:is>
      </ns0:c>
      <ns0:c r="B21" s="9">
        <ns0:f>'输入假设'!C19</ns0:f>
        <ns0:v>76800</ns0:v>
      </ns0:c>
      <ns0:c r="C21" s="4" t="inlineStr">
        <ns0:is>
          <ns0:t>费用项完整列示，金额为概念性估算</ns0:t>
        </ns0:is>
      </ns0:c>
    </ns0:row>
    <ns0:row r="22" ht="38" customHeight="1">
      <ns0:c r="A22" s="2" t="inlineStr">
        <ns0:is>
          <ns0:t>土地取得费</ns0:t>
        </ns0:is>
      </ns0:c>
      <ns0:c r="B22" s="8">
        <ns0:f>'输入假设'!C20</ns0:f>
        <ns0:v>10000</ns0:v>
      </ns0:c>
      <ns0:c r="C22" s="2" t="inlineStr">
        <ns0:is>
          <ns0:t>费用项完整列示，金额为概念性估算</ns0:t>
        </ns0:is>
      </ns0:c>
    </ns0:row>
    <ns0:row r="23" ht="38" customHeight="1">
      <ns0:c r="A23" s="4" t="inlineStr">
        <ns0:is>
          <ns0:t>建设期利息筹资预算</ns0:t>
        </ns0:is>
      </ns0:c>
      <ns0:c r="B23" s="9">
        <ns0:f>'输入假设'!C21</ns0:f>
        <ns0:v>9500</ns0:v>
      </ns0:c>
      <ns0:c r="C23" s="4" t="inlineStr">
        <ns0:is>
          <ns0:t>费用项完整列示，金额为概念性估算</ns0:t>
        </ns0:is>
      </ns0:c>
    </ns0:row>
    <ns0:row r="24" ht="38" customHeight="1">
      <ns0:c r="A24" s="2" t="inlineStr">
        <ns0:is>
          <ns0:t>流动资金</ns0:t>
        </ns0:is>
      </ns0:c>
      <ns0:c r="B24" s="8">
        <ns0:f>'输入假设'!C22</ns0:f>
        <ns0:v>3000</ns0:v>
      </ns0:c>
      <ns0:c r="C24" s="2" t="inlineStr">
        <ns0:is>
          <ns0:t>费用项完整列示，金额为概念性估算</ns0:t>
        </ns0:is>
      </ns0:c>
    </ns0:row>
    <ns0:row r="25" ht="38" customHeight="1">
      <ns0:c r="A25" s="4" t="inlineStr">
        <ns0:is>
          <ns0:t>筹资总需求</ns0:t>
        </ns0:is>
      </ns0:c>
      <ns0:c r="B25" s="9">
        <ns0:f>SUM(B20:B24)</ns0:f>
        <ns0:v>215888.55825</ns0:v>
      </ns0:c>
      <ns0:c r="C25" s="4" t="inlineStr">
        <ns0:is>
          <ns0:t>费用项完整列示，金额为概念性估算</ns0:t>
        </ns0:is>
      </ns0:c>
    </ns0:row>
    <ns0:row r="26" ht="38" customHeight="1">
      <ns0:c r="A26" s="2" t="inlineStr">
        <ns0:is>
          <ns0:t>项目评价投资（不含融资利息）</ns0:t>
        </ns0:is>
      </ns0:c>
      <ns0:c r="B26" s="8">
        <ns0:f>B25-B23</ns0:f>
        <ns0:v>206388.55825</ns0:v>
      </ns0:c>
      <ns0:c r="C26" s="2" t="inlineStr">
        <ns0:is>
          <ns0:t>费用项完整列示，金额为概念性估算</ns0:t>
        </ns0:is>
      </ns0:c>
    </ns0:row>
  </ns0:sheetData>
  <ns0:autoFilter ref="A1:C26"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16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23" customWidth="1" min="2" max="2"/>
    <ns0:col width="23" customWidth="1" min="3" max="3"/>
  </ns0:cols>
  <ns0:sheetData>
    <ns0:row r="1" ht="32" customHeight="1">
      <ns0:c r="A1" s="1" t="inlineStr">
        <ns0:is>
          <ns0:t>项目</ns0:t>
        </ns0:is>
      </ns0:c>
      <ns0:c r="B1" s="1" t="inlineStr">
        <ns0:is>
          <ns0:t>金额/比率</ns0:t>
        </ns0:is>
      </ns0:c>
      <ns0:c r="C1" s="1" t="inlineStr">
        <ns0:is>
          <ns0:t>公式说明</ns0:t>
        </ns0:is>
      </ns0:c>
    </ns0:row>
    <ns0:row r="2" ht="30" customHeight="1">
      <ns0:c r="A2" s="2" t="inlineStr">
        <ns0:is>
          <ns0:t>冷链营业收入</ns0:t>
        </ns0:is>
      </ns0:c>
      <ns0:c r="B2" s="8">
        <ns0:f>'输入假设'!C23*'输入假设'!C25*'输入假设'!C27*'输入假设'!C28*365/10000</ns0:f>
        <ns0:v>8376.75</ns0:v>
      </ns0:c>
      <ns0:c r="C2" s="2" t="inlineStr">
        <ns0:is>
          <ns0:t>万元；DSCR为倍。只看偿债能力，不能替代投资回报评价</ns0:t>
        </ns0:is>
      </ns0:c>
    </ns0:row>
    <ns0:row r="3" ht="30" customHeight="1">
      <ns0:c r="A3" s="4" t="inlineStr">
        <ns0:is>
          <ns0:t>沉香租赁收入</ns0:t>
        </ns0:is>
      </ns0:c>
      <ns0:c r="B3" s="9">
        <ns0:f>'输入假设'!C24*'输入假设'!C26*'输入假设'!C27*'输入假设'!C29*12/10000</ns0:f>
        <ns0:v>979.2</ns0:v>
      </ns0:c>
      <ns0:c r="C3" s="4" t="inlineStr">
        <ns0:is>
          <ns0:t>万元；DSCR为倍。只看偿债能力，不能替代投资回报评价</ns0:t>
        </ns0:is>
      </ns0:c>
    </ns0:row>
    <ns0:row r="4" ht="30" customHeight="1">
      <ns0:c r="A4" s="2" t="inlineStr">
        <ns0:is>
          <ns0:t>产业服务收入</ns0:t>
        </ns0:is>
      </ns0:c>
      <ns0:c r="B4" s="8">
        <ns0:f>'输入假设'!C30*'输入假设'!C27/0.85</ns0:f>
        <ns0:v>1800.0</ns0:v>
      </ns0:c>
      <ns0:c r="C4" s="2" t="inlineStr">
        <ns0:is>
          <ns0:t>万元；DSCR为倍。只看偿债能力，不能替代投资回报评价</ns0:t>
        </ns0:is>
      </ns0:c>
    </ns0:row>
    <ns0:row r="5" ht="30" customHeight="1">
      <ns0:c r="A5" s="4" t="inlineStr">
        <ns0:is>
          <ns0:t>营业收入</ns0:t>
        </ns0:is>
      </ns0:c>
      <ns0:c r="B5" s="9">
        <ns0:f>SUM(B2:B4)</ns0:f>
        <ns0:v>11155.95</ns0:v>
      </ns0:c>
      <ns0:c r="C5" s="4" t="inlineStr">
        <ns0:is>
          <ns0:t>万元；DSCR为倍。只看偿债能力，不能替代投资回报评价</ns0:t>
        </ns0:is>
      </ns0:c>
    </ns0:row>
    <ns0:row r="6" ht="30" customHeight="1">
      <ns0:c r="A6" s="2" t="inlineStr">
        <ns0:is>
          <ns0:t>现金运营支出</ns0:t>
        </ns0:is>
      </ns0:c>
      <ns0:c r="B6" s="8">
        <ns0:f>B2*'输入假设'!C31+B3*'输入假设'!C32+B4*'输入假设'!C33+'输入假设'!C34+'输入假设'!C35</ns0:f>
        <ns0:v>6469.932500000001</ns0:v>
      </ns0:c>
      <ns0:c r="C6" s="2" t="inlineStr">
        <ns0:is>
          <ns0:t>万元；DSCR为倍。只看偿债能力，不能替代投资回报评价</ns0:t>
        </ns0:is>
      </ns0:c>
    </ns0:row>
    <ns0:row r="7" ht="30" customHeight="1">
      <ns0:c r="A7" s="4" t="inlineStr">
        <ns0:is>
          <ns0:t>EBITDA</ns0:t>
        </ns0:is>
      </ns0:c>
      <ns0:c r="B7" s="9">
        <ns0:f>B5-B6</ns0:f>
        <ns0:v>4686.0175</ns0:v>
      </ns0:c>
      <ns0:c r="C7" s="4" t="inlineStr">
        <ns0:is>
          <ns0:t>万元；DSCR为倍。只看偿债能力，不能替代投资回报评价</ns0:t>
        </ns0:is>
      </ns0:c>
    </ns0:row>
    <ns0:row r="8" ht="30" customHeight="1">
      <ns0:c r="A8" s="2" t="inlineStr">
        <ns0:is>
          <ns0:t>计税折旧</ns0:t>
        </ns0:is>
      </ns0:c>
      <ns0:c r="B8" s="8">
        <ns0:f>'输入假设'!C19/'输入假设'!C37</ns0:f>
        <ns0:v>3840.0</ns0:v>
      </ns0:c>
      <ns0:c r="C8" s="2" t="inlineStr">
        <ns0:is>
          <ns0:t>万元；DSCR为倍。只看偿债能力，不能替代投资回报评价</ns0:t>
        </ns0:is>
      </ns0:c>
    </ns0:row>
    <ns0:row r="9" ht="30" customHeight="1">
      <ns0:c r="A9" s="4" t="inlineStr">
        <ns0:is>
          <ns0:t>简化所得税</ns0:t>
        </ns0:is>
      </ns0:c>
      <ns0:c r="B9" s="9">
        <ns0:f>MAX(0,B7-B8)*'输入假设'!C38</ns0:f>
        <ns0:v>211.50437499999998</ns0:v>
      </ns0:c>
      <ns0:c r="C9" s="4" t="inlineStr">
        <ns0:is>
          <ns0:t>万元；DSCR为倍。只看偿债能力，不能替代投资回报评价</ns0:t>
        </ns0:is>
      </ns0:c>
    </ns0:row>
    <ns0:row r="10" ht="30" customHeight="1">
      <ns0:c r="A10" s="2" t="inlineStr">
        <ns0:is>
          <ns0:t>维护再投入</ns0:t>
        </ns0:is>
      </ns0:c>
      <ns0:c r="B10" s="8">
        <ns0:f>'输入假设'!C36</ns0:f>
        <ns0:v>300</ns0:v>
      </ns0:c>
      <ns0:c r="C10" s="2" t="inlineStr">
        <ns0:is>
          <ns0:t>万元；DSCR为倍。只看偿债能力，不能替代投资回报评价</ns0:t>
        </ns0:is>
      </ns0:c>
    </ns0:row>
    <ns0:row r="11" ht="30" customHeight="1">
      <ns0:c r="A11" s="4" t="inlineStr">
        <ns0:is>
          <ns0:t>可偿债现金流（CFADS）</ns0:t>
        </ns0:is>
      </ns0:c>
      <ns0:c r="B11" s="9">
        <ns0:f>B7-B9-B10</ns0:f>
        <ns0:v>4174.5131249999995</ns0:v>
      </ns0:c>
      <ns0:c r="C11" s="4" t="inlineStr">
        <ns0:is>
          <ns0:t>万元；DSCR为倍。只看偿债能力，不能替代投资回报评价</ns0:t>
        </ns0:is>
      </ns0:c>
    </ns0:row>
    <ns0:row r="12" ht="30" customHeight="1">
      <ns0:c r="A12" s="2" t="inlineStr">
        <ns0:is>
          <ns0:t>70%贷款本金</ns0:t>
        </ns0:is>
      </ns0:c>
      <ns0:c r="B12" s="8">
        <ns0:f>'治理估算'!B25*'输入假设'!C41</ns0:f>
        <ns0:v>151121.99077499998</ns0:v>
      </ns0:c>
      <ns0:c r="C12" s="2" t="inlineStr">
        <ns0:is>
          <ns0:t>万元；DSCR为倍。只看偿债能力，不能替代投资回报评价</ns0:t>
        </ns0:is>
      </ns0:c>
    </ns0:row>
    <ns0:row r="13" ht="30" customHeight="1">
      <ns0:c r="A13" s="4" t="inlineStr">
        <ns0:is>
          <ns0:t>等额年本息</ns0:t>
        </ns0:is>
      </ns0:c>
      <ns0:c r="B13" s="9">
        <ns0:f>-PMT('输入假设'!C39,'输入假设'!C40,B12)</ns0:f>
        <ns0:v>10633.105996523567</ns0:v>
      </ns0:c>
      <ns0:c r="C13" s="4" t="inlineStr">
        <ns0:is>
          <ns0:t>万元；DSCR为倍。只看偿债能力，不能替代投资回报评价</ns0:t>
        </ns0:is>
      </ns0:c>
    </ns0:row>
    <ns0:row r="14" ht="30" customHeight="1">
      <ns0:c r="A14" s="2" t="inlineStr">
        <ns0:is>
          <ns0:t>稳态DSCR</ns0:t>
        </ns0:is>
      </ns0:c>
      <ns0:c r="B14" s="8">
        <ns0:f>B11/B13</ns0:f>
        <ns0:v>0.3925958347791165</ns0:v>
      </ns0:c>
      <ns0:c r="C14" s="2" t="inlineStr">
        <ns0:is>
          <ns0:t>万元；DSCR为倍。只看偿债能力，不能替代投资回报评价</ns0:t>
        </ns0:is>
      </ns0:c>
    </ns0:row>
    <ns0:row r="15" ht="30" customHeight="1">
      <ns0:c r="A15" s="4" t="inlineStr">
        <ns0:is>
          <ns0:t>达到DSCR目标的稳态贷款上限</ns0:t>
        </ns0:is>
      </ns0:c>
      <ns0:c r="B15" s="9">
        <ns0:f>B11/'输入假设'!C42/('输入假设'!C39/(1-(1+'输入假设'!C39)^-'输入假设'!C40))</ns0:f>
        <ns0:v>45638.3570167639</ns0:v>
      </ns0:c>
      <ns0:c r="C15" s="4" t="inlineStr">
        <ns0:is>
          <ns0:t>万元；DSCR为倍。只看偿债能力，不能替代投资回报评价</ns0:t>
        </ns0:is>
      </ns0:c>
    </ns0:row>
    <ns0:row r="16" ht="30" customHeight="1">
      <ns0:c r="A16" s="2" t="inlineStr">
        <ns0:is>
          <ns0:t>资本金及其他非债资金需求</ns0:t>
        </ns0:is>
      </ns0:c>
      <ns0:c r="B16" s="8">
        <ns0:f>'治理估算'!B25-B15</ns0:f>
        <ns0:v>170250.20123323612</ns0:v>
      </ns0:c>
      <ns0:c r="C16" s="2" t="inlineStr">
        <ns0:is>
          <ns0:t>万元；DSCR为倍。只看偿债能力，不能替代投资回报评价</ns0:t>
        </ns0:is>
      </ns0:c>
    </ns0:row>
  </ns0:sheetData>
  <ns0:autoFilter ref="A1:C16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O29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23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</ns0:cols>
  <ns0:sheetData>
    <ns0:row r="1" ht="32" customHeight="1">
      <ns0:c r="A1" s="1" t="inlineStr">
        <ns0:is>
          <ns0:t>年度</ns0:t>
        </ns0:is>
      </ns0:c>
      <ns0:c r="B1" s="1" t="inlineStr">
        <ns0:is>
          <ns0:t>建设权重</ns0:t>
        </ns0:is>
      </ns0:c>
      <ns0:c r="C1" s="1" t="inlineStr">
        <ns0:is>
          <ns0:t>出租率</ns0:t>
        </ns0:is>
      </ns0:c>
      <ns0:c r="D1" s="1" t="inlineStr">
        <ns0:is>
          <ns0:t>项目投入（不含融资利息）</ns0:t>
        </ns0:is>
      </ns0:c>
      <ns0:c r="E1" s="1" t="inlineStr">
        <ns0:is>
          <ns0:t>冷链收入</ns0:t>
        </ns0:is>
      </ns0:c>
      <ns0:c r="F1" s="1" t="inlineStr">
        <ns0:is>
          <ns0:t>沉香收入</ns0:t>
        </ns0:is>
      </ns0:c>
      <ns0:c r="G1" s="1" t="inlineStr">
        <ns0:is>
          <ns0:t>服务收入</ns0:t>
        </ns0:is>
      </ns0:c>
      <ns0:c r="H1" s="1" t="inlineStr">
        <ns0:is>
          <ns0:t>现金成本</ns0:t>
        </ns0:is>
      </ns0:c>
      <ns0:c r="I1" s="1" t="inlineStr">
        <ns0:is>
          <ns0:t>折旧</ns0:t>
        </ns0:is>
      </ns0:c>
      <ns0:c r="J1" s="1" t="inlineStr">
        <ns0:is>
          <ns0:t>所得税</ns0:t>
        </ns0:is>
      </ns0:c>
      <ns0:c r="K1" s="1" t="inlineStr">
        <ns0:is>
          <ns0:t>维护投入</ns0:t>
        </ns0:is>
      </ns0:c>
      <ns0:c r="L1" s="1" t="inlineStr">
        <ns0:is>
          <ns0:t>末年残值及流动资金</ns0:t>
        </ns0:is>
      </ns0:c>
      <ns0:c r="M1" s="1" t="inlineStr">
        <ns0:is>
          <ns0:t>净现金流</ns0:t>
        </ns0:is>
      </ns0:c>
      <ns0:c r="N1" s="1" t="inlineStr">
        <ns0:is>
          <ns0:t>折现现金流6%</ns0:t>
        </ns0:is>
      </ns0:c>
      <ns0:c r="O1" s="1" t="inlineStr">
        <ns0:is>
          <ns0:t>累计现金流</ns0:t>
        </ns0:is>
      </ns0:c>
    </ns0:row>
    <ns0:row r="2" ht="30" customHeight="1">
      <ns0:c r="A2" s="8" t="n">
        <ns0:v>0</ns0:v>
      </ns0:c>
      <ns0:c r="B2" s="8" t="n">
        <ns0:v>0</ns0:v>
      </ns0:c>
      <ns0:c r="C2" s="8" t="n">
        <ns0:v>0</ns0:v>
      </ns0:c>
      <ns0:c r="D2" s="8">
        <ns0:f>-B2*'治理估算'!B26</ns0:f>
        <ns0:v>0.0</ns0:v>
      </ns0:c>
      <ns0:c r="E2" s="8">
        <ns0:f>'输入假设'!C23*'输入假设'!C25*C2*'输入假设'!C28*365/10000</ns0:f>
        <ns0:v>0.0</ns0:v>
      </ns0:c>
      <ns0:c r="F2" s="8">
        <ns0:f>'输入假设'!C24*'输入假设'!C26*C2*'输入假设'!C29*12/10000</ns0:f>
        <ns0:v>0.0</ns0:v>
      </ns0:c>
      <ns0:c r="G2" s="8">
        <ns0:f>'输入假设'!C30*C2/0.85</ns0:f>
        <ns0:v>0.0</ns0:v>
      </ns0:c>
      <ns0:c r="H2" s="8">
        <ns0:f>IF(A2&gt;5,E2*'输入假设'!C31+F2*'输入假设'!C32+G2*'输入假设'!C33+'输入假设'!C34+'输入假设'!C35,0)</ns0:f>
        <ns0:v>0</ns0:v>
      </ns0:c>
      <ns0:c r="I2" s="8">
        <ns0:f>IF(AND(A2&gt;5,A2&lt;=5+'输入假设'!C37),'输入假设'!C19/'输入假设'!C37,0)</ns0:f>
        <ns0:v>0</ns0:v>
      </ns0:c>
      <ns0:c r="J2" s="8">
        <ns0:f>MAX(0,SUM(E2:G2)-H2-I2)*'输入假设'!C38</ns0:f>
        <ns0:v>0.0</ns0:v>
      </ns0:c>
      <ns0:c r="K2" s="8">
        <ns0:f>IF(A2&gt;5,'输入假设'!C36,0)</ns0:f>
        <ns0:v>0</ns0:v>
      </ns0:c>
      <ns0:c r="L2" s="8">
        <ns0:f>IF(A2=25,'输入假设'!C19*0.2+'输入假设'!C22,0)</ns0:f>
        <ns0:v>0</ns0:v>
      </ns0:c>
      <ns0:c r="M2" s="8">
        <ns0:f>D2+SUM(E2:G2)-H2-J2-K2+L2</ns0:f>
        <ns0:v>0.0</ns0:v>
      </ns0:c>
      <ns0:c r="N2" s="8">
        <ns0:f>M2/(1+'输入假设'!C43)^A2</ns0:f>
        <ns0:v>0.0</ns0:v>
      </ns0:c>
      <ns0:c r="O2" s="8">
        <ns0:f>SUM(M$2:M2)</ns0:f>
        <ns0:v>0.0</ns0:v>
      </ns0:c>
    </ns0:row>
    <ns0:row r="3" ht="30" customHeight="1">
      <ns0:c r="A3" s="9" t="n">
        <ns0:v>1</ns0:v>
      </ns0:c>
      <ns0:c r="B3" s="9" t="n">
        <ns0:v>0.1</ns0:v>
      </ns0:c>
      <ns0:c r="C3" s="9" t="n">
        <ns0:v>0</ns0:v>
      </ns0:c>
      <ns0:c r="D3" s="9">
        <ns0:f>-B3*'治理估算'!B26</ns0:f>
        <ns0:v>-20638.855825000002</ns0:v>
      </ns0:c>
      <ns0:c r="E3" s="9">
        <ns0:f>'输入假设'!C23*'输入假设'!C25*C3*'输入假设'!C28*365/10000</ns0:f>
        <ns0:v>0.0</ns0:v>
      </ns0:c>
      <ns0:c r="F3" s="9">
        <ns0:f>'输入假设'!C24*'输入假设'!C26*C3*'输入假设'!C29*12/10000</ns0:f>
        <ns0:v>0.0</ns0:v>
      </ns0:c>
      <ns0:c r="G3" s="9">
        <ns0:f>'输入假设'!C30*C3/0.85</ns0:f>
        <ns0:v>0.0</ns0:v>
      </ns0:c>
      <ns0:c r="H3" s="9">
        <ns0:f>IF(A3&gt;5,E3*'输入假设'!C31+F3*'输入假设'!C32+G3*'输入假设'!C33+'输入假设'!C34+'输入假设'!C35,0)</ns0:f>
        <ns0:v>0</ns0:v>
      </ns0:c>
      <ns0:c r="I3" s="9">
        <ns0:f>IF(AND(A3&gt;5,A3&lt;=5+'输入假设'!C37),'输入假设'!C19/'输入假设'!C37,0)</ns0:f>
        <ns0:v>0</ns0:v>
      </ns0:c>
      <ns0:c r="J3" s="9">
        <ns0:f>MAX(0,SUM(E3:G3)-H3-I3)*'输入假设'!C38</ns0:f>
        <ns0:v>0.0</ns0:v>
      </ns0:c>
      <ns0:c r="K3" s="9">
        <ns0:f>IF(A3&gt;5,'输入假设'!C36,0)</ns0:f>
        <ns0:v>0</ns0:v>
      </ns0:c>
      <ns0:c r="L3" s="9">
        <ns0:f>IF(A3=25,'输入假设'!C19*0.2+'输入假设'!C22,0)</ns0:f>
        <ns0:v>0</ns0:v>
      </ns0:c>
      <ns0:c r="M3" s="9">
        <ns0:f>D3+SUM(E3:G3)-H3-J3-K3+L3</ns0:f>
        <ns0:v>-20638.855825000002</ns0:v>
      </ns0:c>
      <ns0:c r="N3" s="9">
        <ns0:f>M3/(1+'输入假设'!C43)^A3</ns0:f>
        <ns0:v>-19470.61870283019</ns0:v>
      </ns0:c>
      <ns0:c r="O3" s="9">
        <ns0:f>SUM(M$2:M3)</ns0:f>
        <ns0:v>-20638.855825000002</ns0:v>
      </ns0:c>
    </ns0:row>
    <ns0:row r="4" ht="30" customHeight="1">
      <ns0:c r="A4" s="8" t="n">
        <ns0:v>2</ns0:v>
      </ns0:c>
      <ns0:c r="B4" s="8" t="n">
        <ns0:v>0.25</ns0:v>
      </ns0:c>
      <ns0:c r="C4" s="8" t="n">
        <ns0:v>0</ns0:v>
      </ns0:c>
      <ns0:c r="D4" s="8">
        <ns0:f>-B4*'治理估算'!B26</ns0:f>
        <ns0:v>-51597.1395625</ns0:v>
      </ns0:c>
      <ns0:c r="E4" s="8">
        <ns0:f>'输入假设'!C23*'输入假设'!C25*C4*'输入假设'!C28*365/10000</ns0:f>
        <ns0:v>0.0</ns0:v>
      </ns0:c>
      <ns0:c r="F4" s="8">
        <ns0:f>'输入假设'!C24*'输入假设'!C26*C4*'输入假设'!C29*12/10000</ns0:f>
        <ns0:v>0.0</ns0:v>
      </ns0:c>
      <ns0:c r="G4" s="8">
        <ns0:f>'输入假设'!C30*C4/0.85</ns0:f>
        <ns0:v>0.0</ns0:v>
      </ns0:c>
      <ns0:c r="H4" s="8">
        <ns0:f>IF(A4&gt;5,E4*'输入假设'!C31+F4*'输入假设'!C32+G4*'输入假设'!C33+'输入假设'!C34+'输入假设'!C35,0)</ns0:f>
        <ns0:v>0</ns0:v>
      </ns0:c>
      <ns0:c r="I4" s="8">
        <ns0:f>IF(AND(A4&gt;5,A4&lt;=5+'输入假设'!C37),'输入假设'!C19/'输入假设'!C37,0)</ns0:f>
        <ns0:v>0</ns0:v>
      </ns0:c>
      <ns0:c r="J4" s="8">
        <ns0:f>MAX(0,SUM(E4:G4)-H4-I4)*'输入假设'!C38</ns0:f>
        <ns0:v>0.0</ns0:v>
      </ns0:c>
      <ns0:c r="K4" s="8">
        <ns0:f>IF(A4&gt;5,'输入假设'!C36,0)</ns0:f>
        <ns0:v>0</ns0:v>
      </ns0:c>
      <ns0:c r="L4" s="8">
        <ns0:f>IF(A4=25,'输入假设'!C19*0.2+'输入假设'!C22,0)</ns0:f>
        <ns0:v>0</ns0:v>
      </ns0:c>
      <ns0:c r="M4" s="8">
        <ns0:f>D4+SUM(E4:G4)-H4-J4-K4+L4</ns0:f>
        <ns0:v>-51597.1395625</ns0:v>
      </ns0:c>
      <ns0:c r="N4" s="8">
        <ns0:f>M4/(1+'输入假设'!C43)^A4</ns0:f>
        <ns0:v>-45921.270525542895</ns0:v>
      </ns0:c>
      <ns0:c r="O4" s="8">
        <ns0:f>SUM(M$2:M4)</ns0:f>
        <ns0:v>-72235.9953875</ns0:v>
      </ns0:c>
    </ns0:row>
    <ns0:row r="5" ht="30" customHeight="1">
      <ns0:c r="A5" s="9" t="n">
        <ns0:v>3</ns0:v>
      </ns0:c>
      <ns0:c r="B5" s="9" t="n">
        <ns0:v>0.25</ns0:v>
      </ns0:c>
      <ns0:c r="C5" s="9" t="n">
        <ns0:v>0</ns0:v>
      </ns0:c>
      <ns0:c r="D5" s="9">
        <ns0:f>-B5*'治理估算'!B26</ns0:f>
        <ns0:v>-51597.1395625</ns0:v>
      </ns0:c>
      <ns0:c r="E5" s="9">
        <ns0:f>'输入假设'!C23*'输入假设'!C25*C5*'输入假设'!C28*365/10000</ns0:f>
        <ns0:v>0.0</ns0:v>
      </ns0:c>
      <ns0:c r="F5" s="9">
        <ns0:f>'输入假设'!C24*'输入假设'!C26*C5*'输入假设'!C29*12/10000</ns0:f>
        <ns0:v>0.0</ns0:v>
      </ns0:c>
      <ns0:c r="G5" s="9">
        <ns0:f>'输入假设'!C30*C5/0.85</ns0:f>
        <ns0:v>0.0</ns0:v>
      </ns0:c>
      <ns0:c r="H5" s="9">
        <ns0:f>IF(A5&gt;5,E5*'输入假设'!C31+F5*'输入假设'!C32+G5*'输入假设'!C33+'输入假设'!C34+'输入假设'!C35,0)</ns0:f>
        <ns0:v>0</ns0:v>
      </ns0:c>
      <ns0:c r="I5" s="9">
        <ns0:f>IF(AND(A5&gt;5,A5&lt;=5+'输入假设'!C37),'输入假设'!C19/'输入假设'!C37,0)</ns0:f>
        <ns0:v>0</ns0:v>
      </ns0:c>
      <ns0:c r="J5" s="9">
        <ns0:f>MAX(0,SUM(E5:G5)-H5-I5)*'输入假设'!C38</ns0:f>
        <ns0:v>0.0</ns0:v>
      </ns0:c>
      <ns0:c r="K5" s="9">
        <ns0:f>IF(A5&gt;5,'输入假设'!C36,0)</ns0:f>
        <ns0:v>0</ns0:v>
      </ns0:c>
      <ns0:c r="L5" s="9">
        <ns0:f>IF(A5=25,'输入假设'!C19*0.2+'输入假设'!C22,0)</ns0:f>
        <ns0:v>0</ns0:v>
      </ns0:c>
      <ns0:c r="M5" s="9">
        <ns0:f>D5+SUM(E5:G5)-H5-J5-K5+L5</ns0:f>
        <ns0:v>-51597.1395625</ns0:v>
      </ns0:c>
      <ns0:c r="N5" s="9">
        <ns0:f>M5/(1+'输入假设'!C43)^A5</ns0:f>
        <ns0:v>-43321.953325983864</ns0:v>
      </ns0:c>
      <ns0:c r="O5" s="9">
        <ns0:f>SUM(M$2:M5)</ns0:f>
        <ns0:v>-123833.13495</ns0:v>
      </ns0:c>
    </ns0:row>
    <ns0:row r="6" ht="30" customHeight="1">
      <ns0:c r="A6" s="8" t="n">
        <ns0:v>4</ns0:v>
      </ns0:c>
      <ns0:c r="B6" s="8" t="n">
        <ns0:v>0.25</ns0:v>
      </ns0:c>
      <ns0:c r="C6" s="8" t="n">
        <ns0:v>0</ns0:v>
      </ns0:c>
      <ns0:c r="D6" s="8">
        <ns0:f>-B6*'治理估算'!B26</ns0:f>
        <ns0:v>-51597.1395625</ns0:v>
      </ns0:c>
      <ns0:c r="E6" s="8">
        <ns0:f>'输入假设'!C23*'输入假设'!C25*C6*'输入假设'!C28*365/10000</ns0:f>
        <ns0:v>0.0</ns0:v>
      </ns0:c>
      <ns0:c r="F6" s="8">
        <ns0:f>'输入假设'!C24*'输入假设'!C26*C6*'输入假设'!C29*12/10000</ns0:f>
        <ns0:v>0.0</ns0:v>
      </ns0:c>
      <ns0:c r="G6" s="8">
        <ns0:f>'输入假设'!C30*C6/0.85</ns0:f>
        <ns0:v>0.0</ns0:v>
      </ns0:c>
      <ns0:c r="H6" s="8">
        <ns0:f>IF(A6&gt;5,E6*'输入假设'!C31+F6*'输入假设'!C32+G6*'输入假设'!C33+'输入假设'!C34+'输入假设'!C35,0)</ns0:f>
        <ns0:v>0</ns0:v>
      </ns0:c>
      <ns0:c r="I6" s="8">
        <ns0:f>IF(AND(A6&gt;5,A6&lt;=5+'输入假设'!C37),'输入假设'!C19/'输入假设'!C37,0)</ns0:f>
        <ns0:v>0</ns0:v>
      </ns0:c>
      <ns0:c r="J6" s="8">
        <ns0:f>MAX(0,SUM(E6:G6)-H6-I6)*'输入假设'!C38</ns0:f>
        <ns0:v>0.0</ns0:v>
      </ns0:c>
      <ns0:c r="K6" s="8">
        <ns0:f>IF(A6&gt;5,'输入假设'!C36,0)</ns0:f>
        <ns0:v>0</ns0:v>
      </ns0:c>
      <ns0:c r="L6" s="8">
        <ns0:f>IF(A6=25,'输入假设'!C19*0.2+'输入假设'!C22,0)</ns0:f>
        <ns0:v>0</ns0:v>
      </ns0:c>
      <ns0:c r="M6" s="8">
        <ns0:f>D6+SUM(E6:G6)-H6-J6-K6+L6</ns0:f>
        <ns0:v>-51597.1395625</ns0:v>
      </ns0:c>
      <ns0:c r="N6" s="8">
        <ns0:f>M6/(1+'输入假设'!C43)^A6</ns0:f>
        <ns0:v>-40869.767288664014</ns0:v>
      </ns0:c>
      <ns0:c r="O6" s="8">
        <ns0:f>SUM(M$2:M6)</ns0:f>
        <ns0:v>-175430.2745125</ns0:v>
      </ns0:c>
    </ns0:row>
    <ns0:row r="7" ht="30" customHeight="1">
      <ns0:c r="A7" s="9" t="n">
        <ns0:v>5</ns0:v>
      </ns0:c>
      <ns0:c r="B7" s="9" t="n">
        <ns0:v>0.15</ns0:v>
      </ns0:c>
      <ns0:c r="C7" s="9" t="n">
        <ns0:v>0</ns0:v>
      </ns0:c>
      <ns0:c r="D7" s="9">
        <ns0:f>-B7*'治理估算'!B26</ns0:f>
        <ns0:v>-30958.283737499998</ns0:v>
      </ns0:c>
      <ns0:c r="E7" s="9">
        <ns0:f>'输入假设'!C23*'输入假设'!C25*C7*'输入假设'!C28*365/10000</ns0:f>
        <ns0:v>0.0</ns0:v>
      </ns0:c>
      <ns0:c r="F7" s="9">
        <ns0:f>'输入假设'!C24*'输入假设'!C26*C7*'输入假设'!C29*12/10000</ns0:f>
        <ns0:v>0.0</ns0:v>
      </ns0:c>
      <ns0:c r="G7" s="9">
        <ns0:f>'输入假设'!C30*C7/0.85</ns0:f>
        <ns0:v>0.0</ns0:v>
      </ns0:c>
      <ns0:c r="H7" s="9">
        <ns0:f>IF(A7&gt;5,E7*'输入假设'!C31+F7*'输入假设'!C32+G7*'输入假设'!C33+'输入假设'!C34+'输入假设'!C35,0)</ns0:f>
        <ns0:v>0</ns0:v>
      </ns0:c>
      <ns0:c r="I7" s="9">
        <ns0:f>IF(AND(A7&gt;5,A7&lt;=5+'输入假设'!C37),'输入假设'!C19/'输入假设'!C37,0)</ns0:f>
        <ns0:v>0</ns0:v>
      </ns0:c>
      <ns0:c r="J7" s="9">
        <ns0:f>MAX(0,SUM(E7:G7)-H7-I7)*'输入假设'!C38</ns0:f>
        <ns0:v>0.0</ns0:v>
      </ns0:c>
      <ns0:c r="K7" s="9">
        <ns0:f>IF(A7&gt;5,'输入假设'!C36,0)</ns0:f>
        <ns0:v>0</ns0:v>
      </ns0:c>
      <ns0:c r="L7" s="9">
        <ns0:f>IF(A7=25,'输入假设'!C19*0.2+'输入假设'!C22,0)</ns0:f>
        <ns0:v>0</ns0:v>
      </ns0:c>
      <ns0:c r="M7" s="9">
        <ns0:f>D7+SUM(E7:G7)-H7-J7-K7+L7</ns0:f>
        <ns0:v>-30958.283737499998</ns0:v>
      </ns0:c>
      <ns0:c r="N7" s="9">
        <ns0:f>M7/(1+'输入假设'!C43)^A7</ns0:f>
        <ns0:v>-23133.830540753217</ns0:v>
      </ns0:c>
      <ns0:c r="O7" s="9">
        <ns0:f>SUM(M$2:M7)</ns0:f>
        <ns0:v>-206388.55825</ns0:v>
      </ns0:c>
    </ns0:row>
    <ns0:row r="8" ht="30" customHeight="1">
      <ns0:c r="A8" s="8" t="n">
        <ns0:v>6</ns0:v>
      </ns0:c>
      <ns0:c r="B8" s="8" t="n">
        <ns0:v>0</ns0:v>
      </ns0:c>
      <ns0:c r="C8" s="8">
        <ns0:f>MIN('输入假设'!C27,0.6)</ns0:f>
        <ns0:v>0.6</ns0:v>
      </ns0:c>
      <ns0:c r="D8" s="8">
        <ns0:f>-B8*'治理估算'!B26</ns0:f>
        <ns0:v>0.0</ns0:v>
      </ns0:c>
      <ns0:c r="E8" s="8">
        <ns0:f>'输入假设'!C23*'输入假设'!C25*C8*'输入假设'!C28*365/10000</ns0:f>
        <ns0:v>5913.0</ns0:v>
      </ns0:c>
      <ns0:c r="F8" s="8">
        <ns0:f>'输入假设'!C24*'输入假设'!C26*C8*'输入假设'!C29*12/10000</ns0:f>
        <ns0:v>691.2</ns0:v>
      </ns0:c>
      <ns0:c r="G8" s="8">
        <ns0:f>'输入假设'!C30*C8/0.85</ns0:f>
        <ns0:v>1270.5882352941176</ns0:v>
      </ns0:c>
      <ns0:c r="H8" s="8">
        <ns0:f>IF(A8&gt;5,E8*'输入假设'!C31+F8*'输入假设'!C32+G8*'输入假设'!C33+'输入假设'!C34+'输入假设'!C35,0)</ns0:f>
        <ns0:v>4669.952352941176</ns0:v>
      </ns0:c>
      <ns0:c r="I8" s="8">
        <ns0:f>IF(AND(A8&gt;5,A8&lt;=5+'输入假设'!C37),'输入假设'!C19/'输入假设'!C37,0)</ns0:f>
        <ns0:v>3840.0</ns0:v>
      </ns0:c>
      <ns0:c r="J8" s="8">
        <ns0:f>MAX(0,SUM(E8:G8)-H8-I8)*'输入假设'!C38</ns0:f>
        <ns0:v>0.0</ns0:v>
      </ns0:c>
      <ns0:c r="K8" s="8">
        <ns0:f>IF(A8&gt;5,'输入假设'!C36,0)</ns0:f>
        <ns0:v>300</ns0:v>
      </ns0:c>
      <ns0:c r="L8" s="8">
        <ns0:f>IF(A8=25,'输入假设'!C19*0.2+'输入假设'!C22,0)</ns0:f>
        <ns0:v>0</ns0:v>
      </ns0:c>
      <ns0:c r="M8" s="8">
        <ns0:f>D8+SUM(E8:G8)-H8-J8-K8+L8</ns0:f>
        <ns0:v>2904.8358823529416</ns0:v>
      </ns0:c>
      <ns0:c r="N8" s="8">
        <ns0:f>M8/(1+'输入假设'!C43)^A8</ns0:f>
        <ns0:v>2047.7946735120938</ns0:v>
      </ns0:c>
      <ns0:c r="O8" s="8">
        <ns0:f>SUM(M$2:M8)</ns0:f>
        <ns0:v>-203483.72236764705</ns0:v>
      </ns0:c>
    </ns0:row>
    <ns0:row r="9" ht="30" customHeight="1">
      <ns0:c r="A9" s="9" t="n">
        <ns0:v>7</ns0:v>
      </ns0:c>
      <ns0:c r="B9" s="9" t="n">
        <ns0:v>0</ns0:v>
      </ns0:c>
      <ns0:c r="C9" s="9">
        <ns0:f>MIN('输入假设'!C27,0.75)</ns0:f>
        <ns0:v>0.75</ns0:v>
      </ns0:c>
      <ns0:c r="D9" s="9">
        <ns0:f>-B9*'治理估算'!B26</ns0:f>
        <ns0:v>0.0</ns0:v>
      </ns0:c>
      <ns0:c r="E9" s="9">
        <ns0:f>'输入假设'!C23*'输入假设'!C25*C9*'输入假设'!C28*365/10000</ns0:f>
        <ns0:v>7391.25</ns0:v>
      </ns0:c>
      <ns0:c r="F9" s="9">
        <ns0:f>'输入假设'!C24*'输入假设'!C26*C9*'输入假设'!C29*12/10000</ns0:f>
        <ns0:v>864.0</ns0:v>
      </ns0:c>
      <ns0:c r="G9" s="9">
        <ns0:f>'输入假设'!C30*C9/0.85</ns0:f>
        <ns0:v>1588.235294117647</ns0:v>
      </ns0:c>
      <ns0:c r="H9" s="9">
        <ns0:f>IF(A9&gt;5,E9*'输入假设'!C31+F9*'输入假设'!C32+G9*'输入假设'!C33+'输入假设'!C34+'输入假设'!C35,0)</ns0:f>
        <ns0:v>5749.940441176472</ns0:v>
      </ns0:c>
      <ns0:c r="I9" s="9">
        <ns0:f>IF(AND(A9&gt;5,A9&lt;=5+'输入假设'!C37),'输入假设'!C19/'输入假设'!C37,0)</ns0:f>
        <ns0:v>3840.0</ns0:v>
      </ns0:c>
      <ns0:c r="J9" s="9">
        <ns0:f>MAX(0,SUM(E9:G9)-H9-I9)*'输入假设'!C38</ns0:f>
        <ns0:v>63.38621323529378</ns0:v>
      </ns0:c>
      <ns0:c r="K9" s="9">
        <ns0:f>IF(A9&gt;5,'输入假设'!C36,0)</ns0:f>
        <ns0:v>300</ns0:v>
      </ns0:c>
      <ns0:c r="L9" s="9">
        <ns0:f>IF(A9=25,'输入假设'!C19*0.2+'输入假设'!C22,0)</ns0:f>
        <ns0:v>0</ns0:v>
      </ns0:c>
      <ns0:c r="M9" s="9">
        <ns0:f>D9+SUM(E9:G9)-H9-J9-K9+L9</ns0:f>
        <ns0:v>3730.1586397058813</ns0:v>
      </ns0:c>
      <ns0:c r="N9" s="9">
        <ns0:f>M9/(1+'输入假设'!C43)^A9</ns0:f>
        <ns0:v>2480.768538276213</ns0:v>
      </ns0:c>
      <ns0:c r="O9" s="9">
        <ns0:f>SUM(M$2:M9)</ns0:f>
        <ns0:v>-199753.5637279412</ns0:v>
      </ns0:c>
    </ns0:row>
    <ns0:row r="10" ht="30" customHeight="1">
      <ns0:c r="A10" s="8" t="n">
        <ns0:v>8</ns0:v>
      </ns0:c>
      <ns0:c r="B10" s="8" t="n">
        <ns0:v>0</ns0:v>
      </ns0:c>
      <ns0:c r="C10" s="8">
        <ns0:f>'输入假设'!C27</ns0:f>
        <ns0:v>0.85</ns0:v>
      </ns0:c>
      <ns0:c r="D10" s="8">
        <ns0:f>-B10*'治理估算'!B26</ns0:f>
        <ns0:v>0.0</ns0:v>
      </ns0:c>
      <ns0:c r="E10" s="8">
        <ns0:f>'输入假设'!C23*'输入假设'!C25*C10*'输入假设'!C28*365/10000</ns0:f>
        <ns0:v>8376.75</ns0:v>
      </ns0:c>
      <ns0:c r="F10" s="8">
        <ns0:f>'输入假设'!C24*'输入假设'!C26*C10*'输入假设'!C29*12/10000</ns0:f>
        <ns0:v>979.2</ns0:v>
      </ns0:c>
      <ns0:c r="G10" s="8">
        <ns0:f>'输入假设'!C30*C10/0.85</ns0:f>
        <ns0:v>1800.0</ns0:v>
      </ns0:c>
      <ns0:c r="H10" s="8">
        <ns0:f>IF(A10&gt;5,E10*'输入假设'!C31+F10*'输入假设'!C32+G10*'输入假设'!C33+'输入假设'!C34+'输入假设'!C35,0)</ns0:f>
        <ns0:v>6469.932500000001</ns0:v>
      </ns0:c>
      <ns0:c r="I10" s="8">
        <ns0:f>IF(AND(A10&gt;5,A10&lt;=5+'输入假设'!C37),'输入假设'!C19/'输入假设'!C37,0)</ns0:f>
        <ns0:v>3840.0</ns0:v>
      </ns0:c>
      <ns0:c r="J10" s="8">
        <ns0:f>MAX(0,SUM(E10:G10)-H10-I10)*'输入假设'!C38</ns0:f>
        <ns0:v>211.50437499999998</ns0:v>
      </ns0:c>
      <ns0:c r="K10" s="8">
        <ns0:f>IF(A10&gt;5,'输入假设'!C36,0)</ns0:f>
        <ns0:v>300</ns0:v>
      </ns0:c>
      <ns0:c r="L10" s="8">
        <ns0:f>IF(A10=25,'输入假设'!C19*0.2+'输入假设'!C22,0)</ns0:f>
        <ns0:v>0</ns0:v>
      </ns0:c>
      <ns0:c r="M10" s="8">
        <ns0:f>D10+SUM(E10:G10)-H10-J10-K10+L10</ns0:f>
        <ns0:v>4174.5131249999995</ns0:v>
      </ns0:c>
      <ns0:c r="N10" s="8">
        <ns0:f>M10/(1+'输入假设'!C43)^A10</ns0:f>
        <ns0:v>2619.1411789538283</ns0:v>
      </ns0:c>
      <ns0:c r="O10" s="8">
        <ns0:f>SUM(M$2:M10)</ns0:f>
        <ns0:v>-195579.0506029412</ns0:v>
      </ns0:c>
    </ns0:row>
    <ns0:row r="11" ht="30" customHeight="1">
      <ns0:c r="A11" s="9" t="n">
        <ns0:v>9</ns0:v>
      </ns0:c>
      <ns0:c r="B11" s="9" t="n">
        <ns0:v>0</ns0:v>
      </ns0:c>
      <ns0:c r="C11" s="9">
        <ns0:f>'输入假设'!C27</ns0:f>
        <ns0:v>0.85</ns0:v>
      </ns0:c>
      <ns0:c r="D11" s="9">
        <ns0:f>-B11*'治理估算'!B26</ns0:f>
        <ns0:v>0.0</ns0:v>
      </ns0:c>
      <ns0:c r="E11" s="9">
        <ns0:f>'输入假设'!C23*'输入假设'!C25*C11*'输入假设'!C28*365/10000</ns0:f>
        <ns0:v>8376.75</ns0:v>
      </ns0:c>
      <ns0:c r="F11" s="9">
        <ns0:f>'输入假设'!C24*'输入假设'!C26*C11*'输入假设'!C29*12/10000</ns0:f>
        <ns0:v>979.2</ns0:v>
      </ns0:c>
      <ns0:c r="G11" s="9">
        <ns0:f>'输入假设'!C30*C11/0.85</ns0:f>
        <ns0:v>1800.0</ns0:v>
      </ns0:c>
      <ns0:c r="H11" s="9">
        <ns0:f>IF(A11&gt;5,E11*'输入假设'!C31+F11*'输入假设'!C32+G11*'输入假设'!C33+'输入假设'!C34+'输入假设'!C35,0)</ns0:f>
        <ns0:v>6469.932500000001</ns0:v>
      </ns0:c>
      <ns0:c r="I11" s="9">
        <ns0:f>IF(AND(A11&gt;5,A11&lt;=5+'输入假设'!C37),'输入假设'!C19/'输入假设'!C37,0)</ns0:f>
        <ns0:v>3840.0</ns0:v>
      </ns0:c>
      <ns0:c r="J11" s="9">
        <ns0:f>MAX(0,SUM(E11:G11)-H11-I11)*'输入假设'!C38</ns0:f>
        <ns0:v>211.50437499999998</ns0:v>
      </ns0:c>
      <ns0:c r="K11" s="9">
        <ns0:f>IF(A11&gt;5,'输入假设'!C36,0)</ns0:f>
        <ns0:v>300</ns0:v>
      </ns0:c>
      <ns0:c r="L11" s="9">
        <ns0:f>IF(A11=25,'输入假设'!C19*0.2+'输入假设'!C22,0)</ns0:f>
        <ns0:v>0</ns0:v>
      </ns0:c>
      <ns0:c r="M11" s="9">
        <ns0:f>D11+SUM(E11:G11)-H11-J11-K11+L11</ns0:f>
        <ns0:v>4174.5131249999995</ns0:v>
      </ns0:c>
      <ns0:c r="N11" s="9">
        <ns0:f>M11/(1+'输入假设'!C43)^A11</ns0:f>
        <ns0:v>2470.887904673423</ns0:v>
      </ns0:c>
      <ns0:c r="O11" s="9">
        <ns0:f>SUM(M$2:M11)</ns0:f>
        <ns0:v>-191404.5374779412</ns0:v>
      </ns0:c>
    </ns0:row>
    <ns0:row r="12" ht="30" customHeight="1">
      <ns0:c r="A12" s="8" t="n">
        <ns0:v>10</ns0:v>
      </ns0:c>
      <ns0:c r="B12" s="8" t="n">
        <ns0:v>0</ns0:v>
      </ns0:c>
      <ns0:c r="C12" s="8">
        <ns0:f>'输入假设'!C27</ns0:f>
        <ns0:v>0.85</ns0:v>
      </ns0:c>
      <ns0:c r="D12" s="8">
        <ns0:f>-B12*'治理估算'!B26</ns0:f>
        <ns0:v>0.0</ns0:v>
      </ns0:c>
      <ns0:c r="E12" s="8">
        <ns0:f>'输入假设'!C23*'输入假设'!C25*C12*'输入假设'!C28*365/10000</ns0:f>
        <ns0:v>8376.75</ns0:v>
      </ns0:c>
      <ns0:c r="F12" s="8">
        <ns0:f>'输入假设'!C24*'输入假设'!C26*C12*'输入假设'!C29*12/10000</ns0:f>
        <ns0:v>979.2</ns0:v>
      </ns0:c>
      <ns0:c r="G12" s="8">
        <ns0:f>'输入假设'!C30*C12/0.85</ns0:f>
        <ns0:v>1800.0</ns0:v>
      </ns0:c>
      <ns0:c r="H12" s="8">
        <ns0:f>IF(A12&gt;5,E12*'输入假设'!C31+F12*'输入假设'!C32+G12*'输入假设'!C33+'输入假设'!C34+'输入假设'!C35,0)</ns0:f>
        <ns0:v>6469.932500000001</ns0:v>
      </ns0:c>
      <ns0:c r="I12" s="8">
        <ns0:f>IF(AND(A12&gt;5,A12&lt;=5+'输入假设'!C37),'输入假设'!C19/'输入假设'!C37,0)</ns0:f>
        <ns0:v>3840.0</ns0:v>
      </ns0:c>
      <ns0:c r="J12" s="8">
        <ns0:f>MAX(0,SUM(E12:G12)-H12-I12)*'输入假设'!C38</ns0:f>
        <ns0:v>211.50437499999998</ns0:v>
      </ns0:c>
      <ns0:c r="K12" s="8">
        <ns0:f>IF(A12&gt;5,'输入假设'!C36,0)</ns0:f>
        <ns0:v>300</ns0:v>
      </ns0:c>
      <ns0:c r="L12" s="8">
        <ns0:f>IF(A12=25,'输入假设'!C19*0.2+'输入假设'!C22,0)</ns0:f>
        <ns0:v>0</ns0:v>
      </ns0:c>
      <ns0:c r="M12" s="8">
        <ns0:f>D12+SUM(E12:G12)-H12-J12-K12+L12</ns0:f>
        <ns0:v>4174.5131249999995</ns0:v>
      </ns0:c>
      <ns0:c r="N12" s="8">
        <ns0:f>M12/(1+'输入假设'!C43)^A12</ns0:f>
        <ns0:v>2331.026325163606</ns0:v>
      </ns0:c>
      <ns0:c r="O12" s="8">
        <ns0:f>SUM(M$2:M12)</ns0:f>
        <ns0:v>-187230.02435294117</ns0:v>
      </ns0:c>
    </ns0:row>
    <ns0:row r="13" ht="30" customHeight="1">
      <ns0:c r="A13" s="9" t="n">
        <ns0:v>11</ns0:v>
      </ns0:c>
      <ns0:c r="B13" s="9" t="n">
        <ns0:v>0</ns0:v>
      </ns0:c>
      <ns0:c r="C13" s="9">
        <ns0:f>'输入假设'!C27</ns0:f>
        <ns0:v>0.85</ns0:v>
      </ns0:c>
      <ns0:c r="D13" s="9">
        <ns0:f>-B13*'治理估算'!B26</ns0:f>
        <ns0:v>0.0</ns0:v>
      </ns0:c>
      <ns0:c r="E13" s="9">
        <ns0:f>'输入假设'!C23*'输入假设'!C25*C13*'输入假设'!C28*365/10000</ns0:f>
        <ns0:v>8376.75</ns0:v>
      </ns0:c>
      <ns0:c r="F13" s="9">
        <ns0:f>'输入假设'!C24*'输入假设'!C26*C13*'输入假设'!C29*12/10000</ns0:f>
        <ns0:v>979.2</ns0:v>
      </ns0:c>
      <ns0:c r="G13" s="9">
        <ns0:f>'输入假设'!C30*C13/0.85</ns0:f>
        <ns0:v>1800.0</ns0:v>
      </ns0:c>
      <ns0:c r="H13" s="9">
        <ns0:f>IF(A13&gt;5,E13*'输入假设'!C31+F13*'输入假设'!C32+G13*'输入假设'!C33+'输入假设'!C34+'输入假设'!C35,0)</ns0:f>
        <ns0:v>6469.932500000001</ns0:v>
      </ns0:c>
      <ns0:c r="I13" s="9">
        <ns0:f>IF(AND(A13&gt;5,A13&lt;=5+'输入假设'!C37),'输入假设'!C19/'输入假设'!C37,0)</ns0:f>
        <ns0:v>3840.0</ns0:v>
      </ns0:c>
      <ns0:c r="J13" s="9">
        <ns0:f>MAX(0,SUM(E13:G13)-H13-I13)*'输入假设'!C38</ns0:f>
        <ns0:v>211.50437499999998</ns0:v>
      </ns0:c>
      <ns0:c r="K13" s="9">
        <ns0:f>IF(A13&gt;5,'输入假设'!C36,0)</ns0:f>
        <ns0:v>300</ns0:v>
      </ns0:c>
      <ns0:c r="L13" s="9">
        <ns0:f>IF(A13=25,'输入假设'!C19*0.2+'输入假设'!C22,0)</ns0:f>
        <ns0:v>0</ns0:v>
      </ns0:c>
      <ns0:c r="M13" s="9">
        <ns0:f>D13+SUM(E13:G13)-H13-J13-K13+L13</ns0:f>
        <ns0:v>4174.5131249999995</ns0:v>
      </ns0:c>
      <ns0:c r="N13" s="9">
        <ns0:f>M13/(1+'输入假设'!C43)^A13</ns0:f>
        <ns0:v>2199.0814388335907</ns0:v>
      </ns0:c>
      <ns0:c r="O13" s="9">
        <ns0:f>SUM(M$2:M13)</ns0:f>
        <ns0:v>-183055.51122794117</ns0:v>
      </ns0:c>
    </ns0:row>
    <ns0:row r="14" ht="30" customHeight="1">
      <ns0:c r="A14" s="8" t="n">
        <ns0:v>12</ns0:v>
      </ns0:c>
      <ns0:c r="B14" s="8" t="n">
        <ns0:v>0</ns0:v>
      </ns0:c>
      <ns0:c r="C14" s="8">
        <ns0:f>'输入假设'!C27</ns0:f>
        <ns0:v>0.85</ns0:v>
      </ns0:c>
      <ns0:c r="D14" s="8">
        <ns0:f>-B14*'治理估算'!B26</ns0:f>
        <ns0:v>0.0</ns0:v>
      </ns0:c>
      <ns0:c r="E14" s="8">
        <ns0:f>'输入假设'!C23*'输入假设'!C25*C14*'输入假设'!C28*365/10000</ns0:f>
        <ns0:v>8376.75</ns0:v>
      </ns0:c>
      <ns0:c r="F14" s="8">
        <ns0:f>'输入假设'!C24*'输入假设'!C26*C14*'输入假设'!C29*12/10000</ns0:f>
        <ns0:v>979.2</ns0:v>
      </ns0:c>
      <ns0:c r="G14" s="8">
        <ns0:f>'输入假设'!C30*C14/0.85</ns0:f>
        <ns0:v>1800.0</ns0:v>
      </ns0:c>
      <ns0:c r="H14" s="8">
        <ns0:f>IF(A14&gt;5,E14*'输入假设'!C31+F14*'输入假设'!C32+G14*'输入假设'!C33+'输入假设'!C34+'输入假设'!C35,0)</ns0:f>
        <ns0:v>6469.932500000001</ns0:v>
      </ns0:c>
      <ns0:c r="I14" s="8">
        <ns0:f>IF(AND(A14&gt;5,A14&lt;=5+'输入假设'!C37),'输入假设'!C19/'输入假设'!C37,0)</ns0:f>
        <ns0:v>3840.0</ns0:v>
      </ns0:c>
      <ns0:c r="J14" s="8">
        <ns0:f>MAX(0,SUM(E14:G14)-H14-I14)*'输入假设'!C38</ns0:f>
        <ns0:v>211.50437499999998</ns0:v>
      </ns0:c>
      <ns0:c r="K14" s="8">
        <ns0:f>IF(A14&gt;5,'输入假设'!C36,0)</ns0:f>
        <ns0:v>300</ns0:v>
      </ns0:c>
      <ns0:c r="L14" s="8">
        <ns0:f>IF(A14=25,'输入假设'!C19*0.2+'输入假设'!C22,0)</ns0:f>
        <ns0:v>0</ns0:v>
      </ns0:c>
      <ns0:c r="M14" s="8">
        <ns0:f>D14+SUM(E14:G14)-H14-J14-K14+L14</ns0:f>
        <ns0:v>4174.5131249999995</ns0:v>
      </ns0:c>
      <ns0:c r="N14" s="8">
        <ns0:f>M14/(1+'输入假设'!C43)^A14</ns0:f>
        <ns0:v>2074.6051309750856</ns0:v>
      </ns0:c>
      <ns0:c r="O14" s="8">
        <ns0:f>SUM(M$2:M14)</ns0:f>
        <ns0:v>-178880.99810294117</ns0:v>
      </ns0:c>
    </ns0:row>
    <ns0:row r="15" ht="30" customHeight="1">
      <ns0:c r="A15" s="9" t="n">
        <ns0:v>13</ns0:v>
      </ns0:c>
      <ns0:c r="B15" s="9" t="n">
        <ns0:v>0</ns0:v>
      </ns0:c>
      <ns0:c r="C15" s="9">
        <ns0:f>'输入假设'!C27</ns0:f>
        <ns0:v>0.85</ns0:v>
      </ns0:c>
      <ns0:c r="D15" s="9">
        <ns0:f>-B15*'治理估算'!B26</ns0:f>
        <ns0:v>0.0</ns0:v>
      </ns0:c>
      <ns0:c r="E15" s="9">
        <ns0:f>'输入假设'!C23*'输入假设'!C25*C15*'输入假设'!C28*365/10000</ns0:f>
        <ns0:v>8376.75</ns0:v>
      </ns0:c>
      <ns0:c r="F15" s="9">
        <ns0:f>'输入假设'!C24*'输入假设'!C26*C15*'输入假设'!C29*12/10000</ns0:f>
        <ns0:v>979.2</ns0:v>
      </ns0:c>
      <ns0:c r="G15" s="9">
        <ns0:f>'输入假设'!C30*C15/0.85</ns0:f>
        <ns0:v>1800.0</ns0:v>
      </ns0:c>
      <ns0:c r="H15" s="9">
        <ns0:f>IF(A15&gt;5,E15*'输入假设'!C31+F15*'输入假设'!C32+G15*'输入假设'!C33+'输入假设'!C34+'输入假设'!C35,0)</ns0:f>
        <ns0:v>6469.932500000001</ns0:v>
      </ns0:c>
      <ns0:c r="I15" s="9">
        <ns0:f>IF(AND(A15&gt;5,A15&lt;=5+'输入假设'!C37),'输入假设'!C19/'输入假设'!C37,0)</ns0:f>
        <ns0:v>3840.0</ns0:v>
      </ns0:c>
      <ns0:c r="J15" s="9">
        <ns0:f>MAX(0,SUM(E15:G15)-H15-I15)*'输入假设'!C38</ns0:f>
        <ns0:v>211.50437499999998</ns0:v>
      </ns0:c>
      <ns0:c r="K15" s="9">
        <ns0:f>IF(A15&gt;5,'输入假设'!C36,0)</ns0:f>
        <ns0:v>300</ns0:v>
      </ns0:c>
      <ns0:c r="L15" s="9">
        <ns0:f>IF(A15=25,'输入假设'!C19*0.2+'输入假设'!C22,0)</ns0:f>
        <ns0:v>0</ns0:v>
      </ns0:c>
      <ns0:c r="M15" s="9">
        <ns0:f>D15+SUM(E15:G15)-H15-J15-K15+L15</ns0:f>
        <ns0:v>4174.5131249999995</ns0:v>
      </ns0:c>
      <ns0:c r="N15" s="9">
        <ns0:f>M15/(1+'输入假设'!C43)^A15</ns0:f>
        <ns0:v>1957.1746518632883</ns0:v>
      </ns0:c>
      <ns0:c r="O15" s="9">
        <ns0:f>SUM(M$2:M15)</ns0:f>
        <ns0:v>-174706.48497794117</ns0:v>
      </ns0:c>
    </ns0:row>
    <ns0:row r="16" ht="30" customHeight="1">
      <ns0:c r="A16" s="8" t="n">
        <ns0:v>14</ns0:v>
      </ns0:c>
      <ns0:c r="B16" s="8" t="n">
        <ns0:v>0</ns0:v>
      </ns0:c>
      <ns0:c r="C16" s="8">
        <ns0:f>'输入假设'!C27</ns0:f>
        <ns0:v>0.85</ns0:v>
      </ns0:c>
      <ns0:c r="D16" s="8">
        <ns0:f>-B16*'治理估算'!B26</ns0:f>
        <ns0:v>0.0</ns0:v>
      </ns0:c>
      <ns0:c r="E16" s="8">
        <ns0:f>'输入假设'!C23*'输入假设'!C25*C16*'输入假设'!C28*365/10000</ns0:f>
        <ns0:v>8376.75</ns0:v>
      </ns0:c>
      <ns0:c r="F16" s="8">
        <ns0:f>'输入假设'!C24*'输入假设'!C26*C16*'输入假设'!C29*12/10000</ns0:f>
        <ns0:v>979.2</ns0:v>
      </ns0:c>
      <ns0:c r="G16" s="8">
        <ns0:f>'输入假设'!C30*C16/0.85</ns0:f>
        <ns0:v>1800.0</ns0:v>
      </ns0:c>
      <ns0:c r="H16" s="8">
        <ns0:f>IF(A16&gt;5,E16*'输入假设'!C31+F16*'输入假设'!C32+G16*'输入假设'!C33+'输入假设'!C34+'输入假设'!C35,0)</ns0:f>
        <ns0:v>6469.932500000001</ns0:v>
      </ns0:c>
      <ns0:c r="I16" s="8">
        <ns0:f>IF(AND(A16&gt;5,A16&lt;=5+'输入假设'!C37),'输入假设'!C19/'输入假设'!C37,0)</ns0:f>
        <ns0:v>3840.0</ns0:v>
      </ns0:c>
      <ns0:c r="J16" s="8">
        <ns0:f>MAX(0,SUM(E16:G16)-H16-I16)*'输入假设'!C38</ns0:f>
        <ns0:v>211.50437499999998</ns0:v>
      </ns0:c>
      <ns0:c r="K16" s="8">
        <ns0:f>IF(A16&gt;5,'输入假设'!C36,0)</ns0:f>
        <ns0:v>300</ns0:v>
      </ns0:c>
      <ns0:c r="L16" s="8">
        <ns0:f>IF(A16=25,'输入假设'!C19*0.2+'输入假设'!C22,0)</ns0:f>
        <ns0:v>0</ns0:v>
      </ns0:c>
      <ns0:c r="M16" s="8">
        <ns0:f>D16+SUM(E16:G16)-H16-J16-K16+L16</ns0:f>
        <ns0:v>4174.5131249999995</ns0:v>
      </ns0:c>
      <ns0:c r="N16" s="8">
        <ns0:f>M16/(1+'输入假设'!C43)^A16</ns0:f>
        <ns0:v>1846.3911810031018</ns0:v>
      </ns0:c>
      <ns0:c r="O16" s="8">
        <ns0:f>SUM(M$2:M16)</ns0:f>
        <ns0:v>-170531.97185294118</ns0:v>
      </ns0:c>
    </ns0:row>
    <ns0:row r="17" ht="30" customHeight="1">
      <ns0:c r="A17" s="9" t="n">
        <ns0:v>15</ns0:v>
      </ns0:c>
      <ns0:c r="B17" s="9" t="n">
        <ns0:v>0</ns0:v>
      </ns0:c>
      <ns0:c r="C17" s="9">
        <ns0:f>'输入假设'!C27</ns0:f>
        <ns0:v>0.85</ns0:v>
      </ns0:c>
      <ns0:c r="D17" s="9">
        <ns0:f>-B17*'治理估算'!B26</ns0:f>
        <ns0:v>0.0</ns0:v>
      </ns0:c>
      <ns0:c r="E17" s="9">
        <ns0:f>'输入假设'!C23*'输入假设'!C25*C17*'输入假设'!C28*365/10000</ns0:f>
        <ns0:v>8376.75</ns0:v>
      </ns0:c>
      <ns0:c r="F17" s="9">
        <ns0:f>'输入假设'!C24*'输入假设'!C26*C17*'输入假设'!C29*12/10000</ns0:f>
        <ns0:v>979.2</ns0:v>
      </ns0:c>
      <ns0:c r="G17" s="9">
        <ns0:f>'输入假设'!C30*C17/0.85</ns0:f>
        <ns0:v>1800.0</ns0:v>
      </ns0:c>
      <ns0:c r="H17" s="9">
        <ns0:f>IF(A17&gt;5,E17*'输入假设'!C31+F17*'输入假设'!C32+G17*'输入假设'!C33+'输入假设'!C34+'输入假设'!C35,0)</ns0:f>
        <ns0:v>6469.932500000001</ns0:v>
      </ns0:c>
      <ns0:c r="I17" s="9">
        <ns0:f>IF(AND(A17&gt;5,A17&lt;=5+'输入假设'!C37),'输入假设'!C19/'输入假设'!C37,0)</ns0:f>
        <ns0:v>3840.0</ns0:v>
      </ns0:c>
      <ns0:c r="J17" s="9">
        <ns0:f>MAX(0,SUM(E17:G17)-H17-I17)*'输入假设'!C38</ns0:f>
        <ns0:v>211.50437499999998</ns0:v>
      </ns0:c>
      <ns0:c r="K17" s="9">
        <ns0:f>IF(A17&gt;5,'输入假设'!C36,0)</ns0:f>
        <ns0:v>300</ns0:v>
      </ns0:c>
      <ns0:c r="L17" s="9">
        <ns0:f>IF(A17=25,'输入假设'!C19*0.2+'输入假设'!C22,0)</ns0:f>
        <ns0:v>0</ns0:v>
      </ns0:c>
      <ns0:c r="M17" s="9">
        <ns0:f>D17+SUM(E17:G17)-H17-J17-K17+L17</ns0:f>
        <ns0:v>4174.5131249999995</ns0:v>
      </ns0:c>
      <ns0:c r="N17" s="9">
        <ns0:f>M17/(1+'输入假设'!C43)^A17</ns0:f>
        <ns0:v>1741.8784726444358</ns0:v>
      </ns0:c>
      <ns0:c r="O17" s="9">
        <ns0:f>SUM(M$2:M17)</ns0:f>
        <ns0:v>-166357.45872794118</ns0:v>
      </ns0:c>
    </ns0:row>
    <ns0:row r="18" ht="30" customHeight="1">
      <ns0:c r="A18" s="8" t="n">
        <ns0:v>16</ns0:v>
      </ns0:c>
      <ns0:c r="B18" s="8" t="n">
        <ns0:v>0</ns0:v>
      </ns0:c>
      <ns0:c r="C18" s="8">
        <ns0:f>'输入假设'!C27</ns0:f>
        <ns0:v>0.85</ns0:v>
      </ns0:c>
      <ns0:c r="D18" s="8">
        <ns0:f>-B18*'治理估算'!B26</ns0:f>
        <ns0:v>0.0</ns0:v>
      </ns0:c>
      <ns0:c r="E18" s="8">
        <ns0:f>'输入假设'!C23*'输入假设'!C25*C18*'输入假设'!C28*365/10000</ns0:f>
        <ns0:v>8376.75</ns0:v>
      </ns0:c>
      <ns0:c r="F18" s="8">
        <ns0:f>'输入假设'!C24*'输入假设'!C26*C18*'输入假设'!C29*12/10000</ns0:f>
        <ns0:v>979.2</ns0:v>
      </ns0:c>
      <ns0:c r="G18" s="8">
        <ns0:f>'输入假设'!C30*C18/0.85</ns0:f>
        <ns0:v>1800.0</ns0:v>
      </ns0:c>
      <ns0:c r="H18" s="8">
        <ns0:f>IF(A18&gt;5,E18*'输入假设'!C31+F18*'输入假设'!C32+G18*'输入假设'!C33+'输入假设'!C34+'输入假设'!C35,0)</ns0:f>
        <ns0:v>6469.932500000001</ns0:v>
      </ns0:c>
      <ns0:c r="I18" s="8">
        <ns0:f>IF(AND(A18&gt;5,A18&lt;=5+'输入假设'!C37),'输入假设'!C19/'输入假设'!C37,0)</ns0:f>
        <ns0:v>3840.0</ns0:v>
      </ns0:c>
      <ns0:c r="J18" s="8">
        <ns0:f>MAX(0,SUM(E18:G18)-H18-I18)*'输入假设'!C38</ns0:f>
        <ns0:v>211.50437499999998</ns0:v>
      </ns0:c>
      <ns0:c r="K18" s="8">
        <ns0:f>IF(A18&gt;5,'输入假设'!C36,0)</ns0:f>
        <ns0:v>300</ns0:v>
      </ns0:c>
      <ns0:c r="L18" s="8">
        <ns0:f>IF(A18=25,'输入假设'!C19*0.2+'输入假设'!C22,0)</ns0:f>
        <ns0:v>0</ns0:v>
      </ns0:c>
      <ns0:c r="M18" s="8">
        <ns0:f>D18+SUM(E18:G18)-H18-J18-K18+L18</ns0:f>
        <ns0:v>4174.5131249999995</ns0:v>
      </ns0:c>
      <ns0:c r="N18" s="8">
        <ns0:f>M18/(1+'输入假设'!C43)^A18</ns0:f>
        <ns0:v>1643.2815779664486</ns0:v>
      </ns0:c>
      <ns0:c r="O18" s="8">
        <ns0:f>SUM(M$2:M18)</ns0:f>
        <ns0:v>-162182.94560294118</ns0:v>
      </ns0:c>
    </ns0:row>
    <ns0:row r="19" ht="30" customHeight="1">
      <ns0:c r="A19" s="9" t="n">
        <ns0:v>17</ns0:v>
      </ns0:c>
      <ns0:c r="B19" s="9" t="n">
        <ns0:v>0</ns0:v>
      </ns0:c>
      <ns0:c r="C19" s="9">
        <ns0:f>'输入假设'!C27</ns0:f>
        <ns0:v>0.85</ns0:v>
      </ns0:c>
      <ns0:c r="D19" s="9">
        <ns0:f>-B19*'治理估算'!B26</ns0:f>
        <ns0:v>0.0</ns0:v>
      </ns0:c>
      <ns0:c r="E19" s="9">
        <ns0:f>'输入假设'!C23*'输入假设'!C25*C19*'输入假设'!C28*365/10000</ns0:f>
        <ns0:v>8376.75</ns0:v>
      </ns0:c>
      <ns0:c r="F19" s="9">
        <ns0:f>'输入假设'!C24*'输入假设'!C26*C19*'输入假设'!C29*12/10000</ns0:f>
        <ns0:v>979.2</ns0:v>
      </ns0:c>
      <ns0:c r="G19" s="9">
        <ns0:f>'输入假设'!C30*C19/0.85</ns0:f>
        <ns0:v>1800.0</ns0:v>
      </ns0:c>
      <ns0:c r="H19" s="9">
        <ns0:f>IF(A19&gt;5,E19*'输入假设'!C31+F19*'输入假设'!C32+G19*'输入假设'!C33+'输入假设'!C34+'输入假设'!C35,0)</ns0:f>
        <ns0:v>6469.932500000001</ns0:v>
      </ns0:c>
      <ns0:c r="I19" s="9">
        <ns0:f>IF(AND(A19&gt;5,A19&lt;=5+'输入假设'!C37),'输入假设'!C19/'输入假设'!C37,0)</ns0:f>
        <ns0:v>3840.0</ns0:v>
      </ns0:c>
      <ns0:c r="J19" s="9">
        <ns0:f>MAX(0,SUM(E19:G19)-H19-I19)*'输入假设'!C38</ns0:f>
        <ns0:v>211.50437499999998</ns0:v>
      </ns0:c>
      <ns0:c r="K19" s="9">
        <ns0:f>IF(A19&gt;5,'输入假设'!C36,0)</ns0:f>
        <ns0:v>300</ns0:v>
      </ns0:c>
      <ns0:c r="L19" s="9">
        <ns0:f>IF(A19=25,'输入假设'!C19*0.2+'输入假设'!C22,0)</ns0:f>
        <ns0:v>0</ns0:v>
      </ns0:c>
      <ns0:c r="M19" s="9">
        <ns0:f>D19+SUM(E19:G19)-H19-J19-K19+L19</ns0:f>
        <ns0:v>4174.5131249999995</ns0:v>
      </ns0:c>
      <ns0:c r="N19" s="9">
        <ns0:f>M19/(1+'输入假设'!C43)^A19</ns0:f>
        <ns0:v>1550.2656395909894</ns0:v>
      </ns0:c>
      <ns0:c r="O19" s="9">
        <ns0:f>SUM(M$2:M19)</ns0:f>
        <ns0:v>-158008.43247794118</ns0:v>
      </ns0:c>
    </ns0:row>
    <ns0:row r="20" ht="30" customHeight="1">
      <ns0:c r="A20" s="8" t="n">
        <ns0:v>18</ns0:v>
      </ns0:c>
      <ns0:c r="B20" s="8" t="n">
        <ns0:v>0</ns0:v>
      </ns0:c>
      <ns0:c r="C20" s="8">
        <ns0:f>'输入假设'!C27</ns0:f>
        <ns0:v>0.85</ns0:v>
      </ns0:c>
      <ns0:c r="D20" s="8">
        <ns0:f>-B20*'治理估算'!B26</ns0:f>
        <ns0:v>0.0</ns0:v>
      </ns0:c>
      <ns0:c r="E20" s="8">
        <ns0:f>'输入假设'!C23*'输入假设'!C25*C20*'输入假设'!C28*365/10000</ns0:f>
        <ns0:v>8376.75</ns0:v>
      </ns0:c>
      <ns0:c r="F20" s="8">
        <ns0:f>'输入假设'!C24*'输入假设'!C26*C20*'输入假设'!C29*12/10000</ns0:f>
        <ns0:v>979.2</ns0:v>
      </ns0:c>
      <ns0:c r="G20" s="8">
        <ns0:f>'输入假设'!C30*C20/0.85</ns0:f>
        <ns0:v>1800.0</ns0:v>
      </ns0:c>
      <ns0:c r="H20" s="8">
        <ns0:f>IF(A20&gt;5,E20*'输入假设'!C31+F20*'输入假设'!C32+G20*'输入假设'!C33+'输入假设'!C34+'输入假设'!C35,0)</ns0:f>
        <ns0:v>6469.932500000001</ns0:v>
      </ns0:c>
      <ns0:c r="I20" s="8">
        <ns0:f>IF(AND(A20&gt;5,A20&lt;=5+'输入假设'!C37),'输入假设'!C19/'输入假设'!C37,0)</ns0:f>
        <ns0:v>3840.0</ns0:v>
      </ns0:c>
      <ns0:c r="J20" s="8">
        <ns0:f>MAX(0,SUM(E20:G20)-H20-I20)*'输入假设'!C38</ns0:f>
        <ns0:v>211.50437499999998</ns0:v>
      </ns0:c>
      <ns0:c r="K20" s="8">
        <ns0:f>IF(A20&gt;5,'输入假设'!C36,0)</ns0:f>
        <ns0:v>300</ns0:v>
      </ns0:c>
      <ns0:c r="L20" s="8">
        <ns0:f>IF(A20=25,'输入假设'!C19*0.2+'输入假设'!C22,0)</ns0:f>
        <ns0:v>0</ns0:v>
      </ns0:c>
      <ns0:c r="M20" s="8">
        <ns0:f>D20+SUM(E20:G20)-H20-J20-K20+L20</ns0:f>
        <ns0:v>4174.5131249999995</ns0:v>
      </ns0:c>
      <ns0:c r="N20" s="8">
        <ns0:f>M20/(1+'输入假设'!C43)^A20</ns0:f>
        <ns0:v>1462.5147543311218</ns0:v>
      </ns0:c>
      <ns0:c r="O20" s="8">
        <ns0:f>SUM(M$2:M20)</ns0:f>
        <ns0:v>-153833.9193529412</ns0:v>
      </ns0:c>
    </ns0:row>
    <ns0:row r="21" ht="30" customHeight="1">
      <ns0:c r="A21" s="9" t="n">
        <ns0:v>19</ns0:v>
      </ns0:c>
      <ns0:c r="B21" s="9" t="n">
        <ns0:v>0</ns0:v>
      </ns0:c>
      <ns0:c r="C21" s="9">
        <ns0:f>'输入假设'!C27</ns0:f>
        <ns0:v>0.85</ns0:v>
      </ns0:c>
      <ns0:c r="D21" s="9">
        <ns0:f>-B21*'治理估算'!B26</ns0:f>
        <ns0:v>0.0</ns0:v>
      </ns0:c>
      <ns0:c r="E21" s="9">
        <ns0:f>'输入假设'!C23*'输入假设'!C25*C21*'输入假设'!C28*365/10000</ns0:f>
        <ns0:v>8376.75</ns0:v>
      </ns0:c>
      <ns0:c r="F21" s="9">
        <ns0:f>'输入假设'!C24*'输入假设'!C26*C21*'输入假设'!C29*12/10000</ns0:f>
        <ns0:v>979.2</ns0:v>
      </ns0:c>
      <ns0:c r="G21" s="9">
        <ns0:f>'输入假设'!C30*C21/0.85</ns0:f>
        <ns0:v>1800.0</ns0:v>
      </ns0:c>
      <ns0:c r="H21" s="9">
        <ns0:f>IF(A21&gt;5,E21*'输入假设'!C31+F21*'输入假设'!C32+G21*'输入假设'!C33+'输入假设'!C34+'输入假设'!C35,0)</ns0:f>
        <ns0:v>6469.932500000001</ns0:v>
      </ns0:c>
      <ns0:c r="I21" s="9">
        <ns0:f>IF(AND(A21&gt;5,A21&lt;=5+'输入假设'!C37),'输入假设'!C19/'输入假设'!C37,0)</ns0:f>
        <ns0:v>3840.0</ns0:v>
      </ns0:c>
      <ns0:c r="J21" s="9">
        <ns0:f>MAX(0,SUM(E21:G21)-H21-I21)*'输入假设'!C38</ns0:f>
        <ns0:v>211.50437499999998</ns0:v>
      </ns0:c>
      <ns0:c r="K21" s="9">
        <ns0:f>IF(A21&gt;5,'输入假设'!C36,0)</ns0:f>
        <ns0:v>300</ns0:v>
      </ns0:c>
      <ns0:c r="L21" s="9">
        <ns0:f>IF(A21=25,'输入假设'!C19*0.2+'输入假设'!C22,0)</ns0:f>
        <ns0:v>0</ns0:v>
      </ns0:c>
      <ns0:c r="M21" s="9">
        <ns0:f>D21+SUM(E21:G21)-H21-J21-K21+L21</ns0:f>
        <ns0:v>4174.5131249999995</ns0:v>
      </ns0:c>
      <ns0:c r="N21" s="9">
        <ns0:f>M21/(1+'输入假设'!C43)^A21</ns0:f>
        <ns0:v>1379.7309003123792</ns0:v>
      </ns0:c>
      <ns0:c r="O21" s="9">
        <ns0:f>SUM(M$2:M21)</ns0:f>
        <ns0:v>-149659.4062279412</ns0:v>
      </ns0:c>
    </ns0:row>
    <ns0:row r="22" ht="30" customHeight="1">
      <ns0:c r="A22" s="8" t="n">
        <ns0:v>20</ns0:v>
      </ns0:c>
      <ns0:c r="B22" s="8" t="n">
        <ns0:v>0</ns0:v>
      </ns0:c>
      <ns0:c r="C22" s="8">
        <ns0:f>'输入假设'!C27</ns0:f>
        <ns0:v>0.85</ns0:v>
      </ns0:c>
      <ns0:c r="D22" s="8">
        <ns0:f>-B22*'治理估算'!B26</ns0:f>
        <ns0:v>0.0</ns0:v>
      </ns0:c>
      <ns0:c r="E22" s="8">
        <ns0:f>'输入假设'!C23*'输入假设'!C25*C22*'输入假设'!C28*365/10000</ns0:f>
        <ns0:v>8376.75</ns0:v>
      </ns0:c>
      <ns0:c r="F22" s="8">
        <ns0:f>'输入假设'!C24*'输入假设'!C26*C22*'输入假设'!C29*12/10000</ns0:f>
        <ns0:v>979.2</ns0:v>
      </ns0:c>
      <ns0:c r="G22" s="8">
        <ns0:f>'输入假设'!C30*C22/0.85</ns0:f>
        <ns0:v>1800.0</ns0:v>
      </ns0:c>
      <ns0:c r="H22" s="8">
        <ns0:f>IF(A22&gt;5,E22*'输入假设'!C31+F22*'输入假设'!C32+G22*'输入假设'!C33+'输入假设'!C34+'输入假设'!C35,0)</ns0:f>
        <ns0:v>6469.932500000001</ns0:v>
      </ns0:c>
      <ns0:c r="I22" s="8">
        <ns0:f>IF(AND(A22&gt;5,A22&lt;=5+'输入假设'!C37),'输入假设'!C19/'输入假设'!C37,0)</ns0:f>
        <ns0:v>3840.0</ns0:v>
      </ns0:c>
      <ns0:c r="J22" s="8">
        <ns0:f>MAX(0,SUM(E22:G22)-H22-I22)*'输入假设'!C38</ns0:f>
        <ns0:v>211.50437499999998</ns0:v>
      </ns0:c>
      <ns0:c r="K22" s="8">
        <ns0:f>IF(A22&gt;5,'输入假设'!C36,0)</ns0:f>
        <ns0:v>300</ns0:v>
      </ns0:c>
      <ns0:c r="L22" s="8">
        <ns0:f>IF(A22=25,'输入假设'!C19*0.2+'输入假设'!C22,0)</ns0:f>
        <ns0:v>0</ns0:v>
      </ns0:c>
      <ns0:c r="M22" s="8">
        <ns0:f>D22+SUM(E22:G22)-H22-J22-K22+L22</ns0:f>
        <ns0:v>4174.5131249999995</ns0:v>
      </ns0:c>
      <ns0:c r="N22" s="8">
        <ns0:f>M22/(1+'输入假设'!C43)^A22</ns0:f>
        <ns0:v>1301.632924822999</ns0:v>
      </ns0:c>
      <ns0:c r="O22" s="8">
        <ns0:f>SUM(M$2:M22)</ns0:f>
        <ns0:v>-145484.8931029412</ns0:v>
      </ns0:c>
    </ns0:row>
    <ns0:row r="23" ht="30" customHeight="1">
      <ns0:c r="A23" s="9" t="n">
        <ns0:v>21</ns0:v>
      </ns0:c>
      <ns0:c r="B23" s="9" t="n">
        <ns0:v>0</ns0:v>
      </ns0:c>
      <ns0:c r="C23" s="9">
        <ns0:f>'输入假设'!C27</ns0:f>
        <ns0:v>0.85</ns0:v>
      </ns0:c>
      <ns0:c r="D23" s="9">
        <ns0:f>-B23*'治理估算'!B26</ns0:f>
        <ns0:v>0.0</ns0:v>
      </ns0:c>
      <ns0:c r="E23" s="9">
        <ns0:f>'输入假设'!C23*'输入假设'!C25*C23*'输入假设'!C28*365/10000</ns0:f>
        <ns0:v>8376.75</ns0:v>
      </ns0:c>
      <ns0:c r="F23" s="9">
        <ns0:f>'输入假设'!C24*'输入假设'!C26*C23*'输入假设'!C29*12/10000</ns0:f>
        <ns0:v>979.2</ns0:v>
      </ns0:c>
      <ns0:c r="G23" s="9">
        <ns0:f>'输入假设'!C30*C23/0.85</ns0:f>
        <ns0:v>1800.0</ns0:v>
      </ns0:c>
      <ns0:c r="H23" s="9">
        <ns0:f>IF(A23&gt;5,E23*'输入假设'!C31+F23*'输入假设'!C32+G23*'输入假设'!C33+'输入假设'!C34+'输入假设'!C35,0)</ns0:f>
        <ns0:v>6469.932500000001</ns0:v>
      </ns0:c>
      <ns0:c r="I23" s="9">
        <ns0:f>IF(AND(A23&gt;5,A23&lt;=5+'输入假设'!C37),'输入假设'!C19/'输入假设'!C37,0)</ns0:f>
        <ns0:v>3840.0</ns0:v>
      </ns0:c>
      <ns0:c r="J23" s="9">
        <ns0:f>MAX(0,SUM(E23:G23)-H23-I23)*'输入假设'!C38</ns0:f>
        <ns0:v>211.50437499999998</ns0:v>
      </ns0:c>
      <ns0:c r="K23" s="9">
        <ns0:f>IF(A23&gt;5,'输入假设'!C36,0)</ns0:f>
        <ns0:v>300</ns0:v>
      </ns0:c>
      <ns0:c r="L23" s="9">
        <ns0:f>IF(A23=25,'输入假设'!C19*0.2+'输入假设'!C22,0)</ns0:f>
        <ns0:v>0</ns0:v>
      </ns0:c>
      <ns0:c r="M23" s="9">
        <ns0:f>D23+SUM(E23:G23)-H23-J23-K23+L23</ns0:f>
        <ns0:v>4174.5131249999995</ns0:v>
      </ns0:c>
      <ns0:c r="N23" s="9">
        <ns0:f>M23/(1+'输入假设'!C43)^A23</ns0:f>
        <ns0:v>1227.9555894556595</ns0:v>
      </ns0:c>
      <ns0:c r="O23" s="9">
        <ns0:f>SUM(M$2:M23)</ns0:f>
        <ns0:v>-141310.3799779412</ns0:v>
      </ns0:c>
    </ns0:row>
    <ns0:row r="24" ht="30" customHeight="1">
      <ns0:c r="A24" s="8" t="n">
        <ns0:v>22</ns0:v>
      </ns0:c>
      <ns0:c r="B24" s="8" t="n">
        <ns0:v>0</ns0:v>
      </ns0:c>
      <ns0:c r="C24" s="8">
        <ns0:f>'输入假设'!C27</ns0:f>
        <ns0:v>0.85</ns0:v>
      </ns0:c>
      <ns0:c r="D24" s="8">
        <ns0:f>-B24*'治理估算'!B26</ns0:f>
        <ns0:v>0.0</ns0:v>
      </ns0:c>
      <ns0:c r="E24" s="8">
        <ns0:f>'输入假设'!C23*'输入假设'!C25*C24*'输入假设'!C28*365/10000</ns0:f>
        <ns0:v>8376.75</ns0:v>
      </ns0:c>
      <ns0:c r="F24" s="8">
        <ns0:f>'输入假设'!C24*'输入假设'!C26*C24*'输入假设'!C29*12/10000</ns0:f>
        <ns0:v>979.2</ns0:v>
      </ns0:c>
      <ns0:c r="G24" s="8">
        <ns0:f>'输入假设'!C30*C24/0.85</ns0:f>
        <ns0:v>1800.0</ns0:v>
      </ns0:c>
      <ns0:c r="H24" s="8">
        <ns0:f>IF(A24&gt;5,E24*'输入假设'!C31+F24*'输入假设'!C32+G24*'输入假设'!C33+'输入假设'!C34+'输入假设'!C35,0)</ns0:f>
        <ns0:v>6469.932500000001</ns0:v>
      </ns0:c>
      <ns0:c r="I24" s="8">
        <ns0:f>IF(AND(A24&gt;5,A24&lt;=5+'输入假设'!C37),'输入假设'!C19/'输入假设'!C37,0)</ns0:f>
        <ns0:v>3840.0</ns0:v>
      </ns0:c>
      <ns0:c r="J24" s="8">
        <ns0:f>MAX(0,SUM(E24:G24)-H24-I24)*'输入假设'!C38</ns0:f>
        <ns0:v>211.50437499999998</ns0:v>
      </ns0:c>
      <ns0:c r="K24" s="8">
        <ns0:f>IF(A24&gt;5,'输入假设'!C36,0)</ns0:f>
        <ns0:v>300</ns0:v>
      </ns0:c>
      <ns0:c r="L24" s="8">
        <ns0:f>IF(A24=25,'输入假设'!C19*0.2+'输入假设'!C22,0)</ns0:f>
        <ns0:v>0</ns0:v>
      </ns0:c>
      <ns0:c r="M24" s="8">
        <ns0:f>D24+SUM(E24:G24)-H24-J24-K24+L24</ns0:f>
        <ns0:v>4174.5131249999995</ns0:v>
      </ns0:c>
      <ns0:c r="N24" s="8">
        <ns0:f>M24/(1+'输入假设'!C43)^A24</ns0:f>
        <ns0:v>1158.4486692977919</ns0:v>
      </ns0:c>
      <ns0:c r="O24" s="8">
        <ns0:f>SUM(M$2:M24)</ns0:f>
        <ns0:v>-137135.8668529412</ns0:v>
      </ns0:c>
    </ns0:row>
    <ns0:row r="25" ht="30" customHeight="1">
      <ns0:c r="A25" s="9" t="n">
        <ns0:v>23</ns0:v>
      </ns0:c>
      <ns0:c r="B25" s="9" t="n">
        <ns0:v>0</ns0:v>
      </ns0:c>
      <ns0:c r="C25" s="9">
        <ns0:f>'输入假设'!C27</ns0:f>
        <ns0:v>0.85</ns0:v>
      </ns0:c>
      <ns0:c r="D25" s="9">
        <ns0:f>-B25*'治理估算'!B26</ns0:f>
        <ns0:v>0.0</ns0:v>
      </ns0:c>
      <ns0:c r="E25" s="9">
        <ns0:f>'输入假设'!C23*'输入假设'!C25*C25*'输入假设'!C28*365/10000</ns0:f>
        <ns0:v>8376.75</ns0:v>
      </ns0:c>
      <ns0:c r="F25" s="9">
        <ns0:f>'输入假设'!C24*'输入假设'!C26*C25*'输入假设'!C29*12/10000</ns0:f>
        <ns0:v>979.2</ns0:v>
      </ns0:c>
      <ns0:c r="G25" s="9">
        <ns0:f>'输入假设'!C30*C25/0.85</ns0:f>
        <ns0:v>1800.0</ns0:v>
      </ns0:c>
      <ns0:c r="H25" s="9">
        <ns0:f>IF(A25&gt;5,E25*'输入假设'!C31+F25*'输入假设'!C32+G25*'输入假设'!C33+'输入假设'!C34+'输入假设'!C35,0)</ns0:f>
        <ns0:v>6469.932500000001</ns0:v>
      </ns0:c>
      <ns0:c r="I25" s="9">
        <ns0:f>IF(AND(A25&gt;5,A25&lt;=5+'输入假设'!C37),'输入假设'!C19/'输入假设'!C37,0)</ns0:f>
        <ns0:v>3840.0</ns0:v>
      </ns0:c>
      <ns0:c r="J25" s="9">
        <ns0:f>MAX(0,SUM(E25:G25)-H25-I25)*'输入假设'!C38</ns0:f>
        <ns0:v>211.50437499999998</ns0:v>
      </ns0:c>
      <ns0:c r="K25" s="9">
        <ns0:f>IF(A25&gt;5,'输入假设'!C36,0)</ns0:f>
        <ns0:v>300</ns0:v>
      </ns0:c>
      <ns0:c r="L25" s="9">
        <ns0:f>IF(A25=25,'输入假设'!C19*0.2+'输入假设'!C22,0)</ns0:f>
        <ns0:v>0</ns0:v>
      </ns0:c>
      <ns0:c r="M25" s="9">
        <ns0:f>D25+SUM(E25:G25)-H25-J25-K25+L25</ns0:f>
        <ns0:v>4174.5131249999995</ns0:v>
      </ns0:c>
      <ns0:c r="N25" s="9">
        <ns0:f>M25/(1+'输入假设'!C43)^A25</ns0:f>
        <ns0:v>1092.8761031111244</ns0:v>
      </ns0:c>
      <ns0:c r="O25" s="9">
        <ns0:f>SUM(M$2:M25)</ns0:f>
        <ns0:v>-132961.3537279412</ns0:v>
      </ns0:c>
    </ns0:row>
    <ns0:row r="26" ht="30" customHeight="1">
      <ns0:c r="A26" s="8" t="n">
        <ns0:v>24</ns0:v>
      </ns0:c>
      <ns0:c r="B26" s="8" t="n">
        <ns0:v>0</ns0:v>
      </ns0:c>
      <ns0:c r="C26" s="8">
        <ns0:f>'输入假设'!C27</ns0:f>
        <ns0:v>0.85</ns0:v>
      </ns0:c>
      <ns0:c r="D26" s="8">
        <ns0:f>-B26*'治理估算'!B26</ns0:f>
        <ns0:v>0.0</ns0:v>
      </ns0:c>
      <ns0:c r="E26" s="8">
        <ns0:f>'输入假设'!C23*'输入假设'!C25*C26*'输入假设'!C28*365/10000</ns0:f>
        <ns0:v>8376.75</ns0:v>
      </ns0:c>
      <ns0:c r="F26" s="8">
        <ns0:f>'输入假设'!C24*'输入假设'!C26*C26*'输入假设'!C29*12/10000</ns0:f>
        <ns0:v>979.2</ns0:v>
      </ns0:c>
      <ns0:c r="G26" s="8">
        <ns0:f>'输入假设'!C30*C26/0.85</ns0:f>
        <ns0:v>1800.0</ns0:v>
      </ns0:c>
      <ns0:c r="H26" s="8">
        <ns0:f>IF(A26&gt;5,E26*'输入假设'!C31+F26*'输入假设'!C32+G26*'输入假设'!C33+'输入假设'!C34+'输入假设'!C35,0)</ns0:f>
        <ns0:v>6469.932500000001</ns0:v>
      </ns0:c>
      <ns0:c r="I26" s="8">
        <ns0:f>IF(AND(A26&gt;5,A26&lt;=5+'输入假设'!C37),'输入假设'!C19/'输入假设'!C37,0)</ns0:f>
        <ns0:v>3840.0</ns0:v>
      </ns0:c>
      <ns0:c r="J26" s="8">
        <ns0:f>MAX(0,SUM(E26:G26)-H26-I26)*'输入假设'!C38</ns0:f>
        <ns0:v>211.50437499999998</ns0:v>
      </ns0:c>
      <ns0:c r="K26" s="8">
        <ns0:f>IF(A26&gt;5,'输入假设'!C36,0)</ns0:f>
        <ns0:v>300</ns0:v>
      </ns0:c>
      <ns0:c r="L26" s="8">
        <ns0:f>IF(A26=25,'输入假设'!C19*0.2+'输入假设'!C22,0)</ns0:f>
        <ns0:v>0</ns0:v>
      </ns0:c>
      <ns0:c r="M26" s="8">
        <ns0:f>D26+SUM(E26:G26)-H26-J26-K26+L26</ns0:f>
        <ns0:v>4174.5131249999995</ns0:v>
      </ns0:c>
      <ns0:c r="N26" s="8">
        <ns0:f>M26/(1+'输入假设'!C43)^A26</ns0:f>
        <ns0:v>1031.0151916142681</ns0:v>
      </ns0:c>
      <ns0:c r="O26" s="8">
        <ns0:f>SUM(M$2:M26)</ns0:f>
        <ns0:v>-128786.84060294119</ns0:v>
      </ns0:c>
    </ns0:row>
    <ns0:row r="27" ht="30" customHeight="1">
      <ns0:c r="A27" s="9" t="n">
        <ns0:v>25</ns0:v>
      </ns0:c>
      <ns0:c r="B27" s="9" t="n">
        <ns0:v>0</ns0:v>
      </ns0:c>
      <ns0:c r="C27" s="9">
        <ns0:f>'输入假设'!C27</ns0:f>
        <ns0:v>0.85</ns0:v>
      </ns0:c>
      <ns0:c r="D27" s="9">
        <ns0:f>-B27*'治理估算'!B26</ns0:f>
        <ns0:v>0.0</ns0:v>
      </ns0:c>
      <ns0:c r="E27" s="9">
        <ns0:f>'输入假设'!C23*'输入假设'!C25*C27*'输入假设'!C28*365/10000</ns0:f>
        <ns0:v>8376.75</ns0:v>
      </ns0:c>
      <ns0:c r="F27" s="9">
        <ns0:f>'输入假设'!C24*'输入假设'!C26*C27*'输入假设'!C29*12/10000</ns0:f>
        <ns0:v>979.2</ns0:v>
      </ns0:c>
      <ns0:c r="G27" s="9">
        <ns0:f>'输入假设'!C30*C27/0.85</ns0:f>
        <ns0:v>1800.0</ns0:v>
      </ns0:c>
      <ns0:c r="H27" s="9">
        <ns0:f>IF(A27&gt;5,E27*'输入假设'!C31+F27*'输入假设'!C32+G27*'输入假设'!C33+'输入假设'!C34+'输入假设'!C35,0)</ns0:f>
        <ns0:v>6469.932500000001</ns0:v>
      </ns0:c>
      <ns0:c r="I27" s="9">
        <ns0:f>IF(AND(A27&gt;5,A27&lt;=5+'输入假设'!C37),'输入假设'!C19/'输入假设'!C37,0)</ns0:f>
        <ns0:v>3840.0</ns0:v>
      </ns0:c>
      <ns0:c r="J27" s="9">
        <ns0:f>MAX(0,SUM(E27:G27)-H27-I27)*'输入假设'!C38</ns0:f>
        <ns0:v>211.50437499999998</ns0:v>
      </ns0:c>
      <ns0:c r="K27" s="9">
        <ns0:f>IF(A27&gt;5,'输入假设'!C36,0)</ns0:f>
        <ns0:v>300</ns0:v>
      </ns0:c>
      <ns0:c r="L27" s="9">
        <ns0:f>IF(A27=25,'输入假设'!C19*0.2+'输入假设'!C22,0)</ns0:f>
        <ns0:v>18360.0</ns0:v>
      </ns0:c>
      <ns0:c r="M27" s="9">
        <ns0:f>D27+SUM(E27:G27)-H27-J27-K27+L27</ns0:f>
        <ns0:v>22534.513124999998</ns0:v>
      </ns0:c>
      <ns0:c r="N27" s="9">
        <ns0:f>M27/(1+'输入假设'!C43)^A27</ns0:f>
        <ns0:v>5250.510697197053</ns0:v>
      </ns0:c>
      <ns0:c r="O27" s="9">
        <ns0:f>SUM(M$2:M27)</ns0:f>
        <ns0:v>-106252.32747794119</ns0:v>
      </ns0:c>
    </ns0:row>
    <ns0:row r="28" ht="30" customHeight="1">
      <ns0:c r="A28" s="2" t="inlineStr">
        <ns0:is>
          <ns0:t>项目FIRR</ns0:t>
        </ns0:is>
      </ns0:c>
      <ns0:c r="B28" s="10">
        <ns0:f>IRR(M2:M27)</ns0:f>
        <ns0:v>-0.04656208302164572</ns0:v>
      </ns0:c>
      <ns0:c r="C28" s="2" t="n"/>
      <ns0:c r="D28" s="2" t="n"/>
      <ns0:c r="E28" s="2" t="n"/>
      <ns0:c r="F28" s="2" t="n"/>
      <ns0:c r="G28" s="2" t="n"/>
      <ns0:c r="H28" s="2" t="n"/>
      <ns0:c r="I28" s="2" t="n"/>
      <ns0:c r="J28" s="2" t="n"/>
      <ns0:c r="K28" s="2" t="n"/>
      <ns0:c r="L28" s="2" t="n"/>
      <ns0:c r="M28" s="2" t="n"/>
      <ns0:c r="N28" s="2" t="n"/>
      <ns0:c r="O28" s="2" t="n"/>
    </ns0:row>
    <ns0:row r="29" ht="30" customHeight="1">
      <ns0:c r="A29" s="4" t="inlineStr">
        <ns0:is>
          <ns0:t>FNPV6%</ns0:t>
        </ns0:is>
      </ns0:c>
      <ns0:c r="B29" s="9">
        <ns0:f>SUM(N2:N27)</ns0:f>
        <ns0:v>-133850.45884017568</ns0:v>
      </ns0:c>
      <ns0:c r="C29" s="4" t="n"/>
      <ns0:c r="D29" s="4" t="n"/>
      <ns0:c r="E29" s="4" t="n"/>
      <ns0:c r="F29" s="4" t="n"/>
      <ns0:c r="G29" s="4" t="n"/>
      <ns0:c r="H29" s="4" t="n"/>
      <ns0:c r="I29" s="4" t="n"/>
      <ns0:c r="J29" s="4" t="n"/>
      <ns0:c r="K29" s="4" t="n"/>
      <ns0:c r="L29" s="4" t="n"/>
      <ns0:c r="M29" s="4" t="n"/>
      <ns0:c r="N29" s="4" t="n"/>
      <ns0:c r="O29" s="4" t="n"/>
    </ns0:row>
  </ns0:sheetData>
  <ns0:autoFilter ref="A1:O29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C21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23" customWidth="1" min="2" max="2"/>
    <ns0:col width="23" customWidth="1" min="3" max="3"/>
  </ns0:cols>
  <ns0:sheetData>
    <ns0:row r="1" ht="32" customHeight="1">
      <ns0:c r="A1" s="1" t="inlineStr">
        <ns0:is>
          <ns0:t>指标</ns0:t>
        </ns0:is>
      </ns0:c>
      <ns0:c r="B1" s="1" t="inlineStr">
        <ns0:is>
          <ns0:t>测算数值</ns0:t>
        </ns0:is>
      </ns0:c>
      <ns0:c r="C1" s="1" t="inlineStr">
        <ns0:is>
          <ns0:t>单位/备注</ns0:t>
        </ns0:is>
      </ns0:c>
    </ns0:row>
    <ns0:row r="2" ht="30" customHeight="1">
      <ns0:c r="A2" s="2" t="inlineStr">
        <ns0:is>
          <ns0:t>小体量治理投资</ns0:t>
        </ns0:is>
      </ns0:c>
      <ns0:c r="B2" s="8" t="n">
        <ns0:v>89414.59185</ns0:v>
      </ns0:c>
      <ns0:c r="C2" s="2" t="inlineStr">
        <ns0:is>
          <ns0:t>万元；情景参数见报告</ns0:t>
        </ns0:is>
      </ns0:c>
    </ns0:row>
    <ns0:row r="3" ht="30" customHeight="1">
      <ns0:c r="A3" s="4" t="inlineStr">
        <ns0:is>
          <ns0:t>小体量筹资总需求</ns0:t>
        </ns0:is>
      </ns0:c>
      <ns0:c r="B3" s="9" t="n">
        <ns0:v>188714.59185</ns0:v>
      </ns0:c>
      <ns0:c r="C3" s="4" t="inlineStr">
        <ns0:is>
          <ns0:t>万元</ns0:t>
        </ns0:is>
      </ns0:c>
    </ns0:row>
    <ns0:row r="4" ht="30" customHeight="1">
      <ns0:c r="A4" s="2" t="inlineStr">
        <ns0:is>
          <ns0:t>基准治理投资</ns0:t>
        </ns0:is>
      </ns0:c>
      <ns0:c r="B4" s="8" t="n">
        <ns0:v>116588.55825</ns0:v>
      </ns0:c>
      <ns0:c r="C4" s="2" t="inlineStr">
        <ns0:is>
          <ns0:t>万元；情景参数见报告</ns0:t>
        </ns0:is>
      </ns0:c>
    </ns0:row>
    <ns0:row r="5" ht="30" customHeight="1">
      <ns0:c r="A5" s="4" t="inlineStr">
        <ns0:is>
          <ns0:t>基准筹资总需求</ns0:t>
        </ns0:is>
      </ns0:c>
      <ns0:c r="B5" s="9" t="n">
        <ns0:v>215888.55825</ns0:v>
      </ns0:c>
      <ns0:c r="C5" s="4" t="inlineStr">
        <ns0:is>
          <ns0:t>万元</ns0:t>
        </ns0:is>
      </ns0:c>
    </ns0:row>
    <ns0:row r="6" ht="30" customHeight="1">
      <ns0:c r="A6" s="2" t="inlineStr">
        <ns0:is>
          <ns0:t>大体量治理投资</ns0:t>
        </ns0:is>
      </ns0:c>
      <ns0:c r="B6" s="8" t="n">
        <ns0:v>119985.30405</ns0:v>
      </ns0:c>
      <ns0:c r="C6" s="2" t="inlineStr">
        <ns0:is>
          <ns0:t>万元；情景参数见报告</ns0:t>
        </ns0:is>
      </ns0:c>
    </ns0:row>
    <ns0:row r="7" ht="30" customHeight="1">
      <ns0:c r="A7" s="4" t="inlineStr">
        <ns0:is>
          <ns0:t>大体量筹资总需求</ns0:t>
        </ns0:is>
      </ns0:c>
      <ns0:c r="B7" s="9" t="n">
        <ns0:v>219285.30405</ns0:v>
      </ns0:c>
      <ns0:c r="C7" s="4" t="inlineStr">
        <ns0:is>
          <ns0:t>万元</ns0:t>
        </ns0:is>
      </ns0:c>
    </ns0:row>
    <ns0:row r="8" ht="30" customHeight="1">
      <ns0:c r="A8" s="2" t="inlineStr">
        <ns0:is>
          <ns0:t>压力治理投资</ns0:t>
        </ns0:is>
      </ns0:c>
      <ns0:c r="B8" s="8" t="n">
        <ns0:v>164940.8632071429</ns0:v>
      </ns0:c>
      <ns0:c r="C8" s="2" t="inlineStr">
        <ns0:is>
          <ns0:t>万元；情景参数见报告</ns0:t>
        </ns0:is>
      </ns0:c>
    </ns0:row>
    <ns0:row r="9" ht="30" customHeight="1">
      <ns0:c r="A9" s="4" t="inlineStr">
        <ns0:is>
          <ns0:t>压力筹资总需求</ns0:t>
        </ns0:is>
      </ns0:c>
      <ns0:c r="B9" s="9" t="n">
        <ns0:v>264240.8632071429</ns0:v>
      </ns0:c>
      <ns0:c r="C9" s="4" t="inlineStr">
        <ns0:is>
          <ns0:t>万元</ns0:t>
        </ns0:is>
      </ns0:c>
    </ns0:row>
    <ns0:row r="10" ht="30" customHeight="1">
      <ns0:c r="A10" s="2" t="inlineStr">
        <ns0:is>
          <ns0:t>稳态营业收入</ns0:t>
        </ns0:is>
      </ns0:c>
      <ns0:c r="B10" s="8" t="n">
        <ns0:v>11155.95</ns0:v>
      </ns0:c>
      <ns0:c r="C10" s="2" t="inlineStr">
        <ns0:is>
          <ns0:t>当前基准校核值，本次基准静态校核值；修改后以公式页重算结果为准</ns0:t>
        </ns0:is>
      </ns0:c>
    </ns0:row>
    <ns0:row r="11" ht="30" customHeight="1">
      <ns0:c r="A11" s="4" t="inlineStr">
        <ns0:is>
          <ns0:t>稳态CFADS</ns0:t>
        </ns0:is>
      </ns0:c>
      <ns0:c r="B11" s="9" t="n">
        <ns0:v>4174.513124999999</ns0:v>
      </ns0:c>
      <ns0:c r="C11" s="4" t="inlineStr">
        <ns0:is>
          <ns0:t>当前基准校核值，本次基准静态校核值；修改后以公式页重算结果为准</ns0:t>
        </ns0:is>
      </ns0:c>
    </ns0:row>
    <ns0:row r="12" ht="30" customHeight="1">
      <ns0:c r="A12" s="2" t="inlineStr">
        <ns0:is>
          <ns0:t>70%贷款稳态DSCR</ns0:t>
        </ns0:is>
      </ns0:c>
      <ns0:c r="B12" s="8" t="n">
        <ns0:v>0.3925958347791165</ns0:v>
      </ns0:c>
      <ns0:c r="C12" s="2" t="inlineStr">
        <ns0:is>
          <ns0:t>当前基准校核值，本次基准静态校核值；修改后以公式页重算结果为准</ns0:t>
        </ns0:is>
      </ns0:c>
    </ns0:row>
    <ns0:row r="13" ht="30" customHeight="1">
      <ns0:c r="A13" s="4" t="inlineStr">
        <ns0:is>
          <ns0:t>首个运营年DSCR</ns0:t>
        </ns0:is>
      </ns0:c>
      <ns0:c r="B13" s="9" t="n">
        <ns0:v>0.2731878985597116</ns0:v>
      </ns0:c>
      <ns0:c r="C13" s="4" t="inlineStr">
        <ns0:is>
          <ns0:t>当前基准校核值，本次基准静态校核值；修改后以公式页重算结果为准</ns0:t>
        </ns0:is>
      </ns0:c>
    </ns0:row>
    <ns0:row r="14" ht="30" customHeight="1">
      <ns0:c r="A14" s="2" t="inlineStr">
        <ns0:is>
          <ns0:t>稳态偿债贷款上限</ns0:t>
        </ns0:is>
      </ns0:c>
      <ns0:c r="B14" s="8" t="n">
        <ns0:v>45638.3570167639</ns0:v>
      </ns0:c>
      <ns0:c r="C14" s="2" t="inlineStr">
        <ns0:is>
          <ns0:t>当前基准校核值，本次基准静态校核值；修改后以公式页重算结果为准</ns0:t>
        </ns0:is>
      </ns0:c>
    </ns0:row>
    <ns0:row r="15" ht="30" customHeight="1">
      <ns0:c r="A15" s="4" t="inlineStr">
        <ns0:is>
          <ns0:t>首个运营年偿债贷款上限</ns0:t>
        </ns0:is>
      </ns0:c>
      <ns0:c r="B15" s="9" t="n">
        <ns0:v>31757.46083537105</ns0:v>
      </ns0:c>
      <ns0:c r="C15" s="4" t="inlineStr">
        <ns0:is>
          <ns0:t>当前基准校核值，本次基准静态校核值；修改后以公式页重算结果为准</ns0:t>
        </ns0:is>
      </ns0:c>
    </ns0:row>
    <ns0:row r="16" ht="30" customHeight="1">
      <ns0:c r="A16" s="2" t="inlineStr">
        <ns0:is>
          <ns0:t>项目FNPV6%</ns0:t>
        </ns0:is>
      </ns0:c>
      <ns0:c r="B16" s="8" t="n">
        <ns0:v>-133850.4588401757</ns0:v>
      </ns0:c>
      <ns0:c r="C16" s="2" t="inlineStr">
        <ns0:is>
          <ns0:t>当前基准校核值，本次基准静态校核值；修改后以公式页重算结果为准</ns0:t>
        </ns0:is>
      </ns0:c>
    </ns0:row>
    <ns0:row r="17" ht="30" customHeight="1">
      <ns0:c r="A17" s="4" t="inlineStr">
        <ns0:is>
          <ns0:t>项目FIRR</ns0:t>
        </ns0:is>
      </ns0:c>
      <ns0:c r="B17" s="9" t="n">
        <ns0:v>-0.04656208302164572</ns0:v>
      </ns0:c>
      <ns0:c r="C17" s="4" t="inlineStr">
        <ns0:is>
          <ns0:t>当前基准校核值，本次基准静态校核值；修改后以公式页重算结果为准</ns0:t>
        </ns0:is>
      </ns0:c>
    </ns0:row>
    <ns0:row r="18" ht="30" customHeight="1">
      <ns0:c r="A18" s="2" t="inlineStr">
        <ns0:is>
          <ns0:t>FNPV6%为零所需冷链单价</ns0:t>
        </ns0:is>
      </ns0:c>
      <ns0:c r="B18" s="8" t="n">
        <ns0:v>20.12830842966428</ns0:v>
      </ns0:c>
      <ns0:c r="C18" s="2" t="inlineStr">
        <ns0:is>
          <ns0:t>当前基准校核值，本次基准静态校核值；修改后以公式页重算结果为准</ns0:t>
        </ns0:is>
      </ns0:c>
    </ns0:row>
    <ns0:row r="19" ht="30" customHeight="1">
      <ns0:c r="A19" s="4" t="inlineStr">
        <ns0:is>
          <ns0:t>现状年度运维（假设口径）</ns0:t>
        </ns0:is>
      </ns0:c>
      <ns0:c r="B19" s="9" t="n">
        <ns0:v>1082.575</ns0:v>
      </ns0:c>
      <ns0:c r="C19" s="4" t="inlineStr">
        <ns0:is>
          <ns0:t>当前基准校核值，本次基准静态校核值；修改后以公式页重算结果为准</ns0:t>
        </ns0:is>
      </ns0:c>
    </ns0:row>
    <ns0:row r="20" ht="30" customHeight="1">
      <ns0:c r="A20" s="2" t="inlineStr">
        <ns0:is>
          <ns0:t>治理后年度可避免费用</ns0:t>
        </ns0:is>
      </ns0:c>
      <ns0:c r="B20" s="8" t="n">
        <ns0:v>932.575</ns0:v>
      </ns0:c>
      <ns0:c r="C20" s="2" t="inlineStr">
        <ns0:is>
          <ns0:t>当前基准校核值，本次基准静态校核值；修改后以公式页重算结果为准</ns0:t>
        </ns0:is>
      </ns0:c>
    </ns0:row>
    <ns0:row r="21" ht="30" customHeight="1">
      <ns0:c r="A21" s="4" t="inlineStr">
        <ns0:is>
          <ns0:t>20年避免费用现值4.5%</ns0:t>
        </ns0:is>
      </ns0:c>
      <ns0:c r="B21" s="9" t="n">
        <ns0:v>12130.87633621442</ns0:v>
      </ns0:c>
      <ns0:c r="C21" s="4" t="inlineStr">
        <ns0:is>
          <ns0:t>当前基准校核值，本次基准静态校核值；修改后以公式页重算结果为准</ns0:t>
        </ns0:is>
      </ns0:c>
    </ns0:row>
  </ns0:sheetData>
  <ns0:autoFilter ref="A1:C21"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B13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8" customWidth="1" min="1" max="1"/>
    <ns0:col width="90" customWidth="1" min="2" max="2"/>
  </ns0:cols>
  <ns0:sheetData>
    <ns0:row r="1" ht="32" customHeight="1">
      <ns0:c r="A1" s="1" t="inlineStr">
        <ns0:is>
          <ns0:t>事项</ns0:t>
        </ns0:is>
      </ns0:c>
      <ns0:c r="B1" s="1" t="inlineStr">
        <ns0:is>
          <ns0:t>说明</ns0:t>
        </ns0:is>
      </ns0:c>
    </ns0:row>
    <ns0:row r="2" ht="38" customHeight="1">
      <ns0:c r="A2" s="2" t="inlineStr">
        <ns0:is>
          <ns0:t>定位</ns0:t>
        </ns0:is>
      </ns0:c>
      <ns0:c r="B2" s="2" t="inlineStr">
        <ns0:is>
          <ns0:t>概念阶段可研测算工作簿，非批复概算、招标控制价或银行授信承诺。所有价格待询价。</ns0:t>
        </ns0:is>
      </ns0:c>
    </ns0:row>
    <ns0:row r="3" ht="38" customHeight="1">
      <ns0:c r="A3" s="4" t="inlineStr">
        <ns0:is>
          <ns0:t>垃圾体积</ns0:t>
        </ns0:is>
      </ns0:c>
      <ns0:c r="B3" s="4" t="inlineStr">
        <ns0:is>
          <ns0:t>250万m³优先取S1场地整治扫描件第1页；170/260万m³作为附件冲突情景。</ns0:t>
        </ns0:is>
      </ns0:c>
    </ns0:row>
    <ns0:row r="4" ht="38" customHeight="1">
      <ns0:c r="A4" s="2" t="inlineStr">
        <ns0:is>
          <ns0:t>基准成本</ns0:t>
        </ns0:is>
      </ns0:c>
      <ns0:c r="B4" s="2" t="inlineStr">
        <ns0:is>
          <ns0:t>35元/m³等均为建模假设；密闭设施固定投资与筛分运行费用分开计，不抵减废料收入。</ns0:t>
        </ns0:is>
      </ns0:c>
    </ns0:row>
    <ns0:row r="5" ht="38" customHeight="1">
      <ns0:c r="A5" s="4" t="inlineStr">
        <ns0:is>
          <ns0:t>金融口径</ns0:t>
        </ns0:is>
      </ns0:c>
      <ns0:c r="B5" s="4" t="inlineStr">
        <ns0:is>
          <ns0:t>筹资需求含建设期利息；项目FIRR/FNPV剔除该融资利息，避免项目评价重复计息。</ns0:t>
        </ns0:is>
      </ns0:c>
    </ns0:row>
    <ns0:row r="6" ht="38" customHeight="1">
      <ns0:c r="A6" s="2" t="inlineStr">
        <ns0:is>
          <ns0:t>税费口径</ns0:t>
        </ns0:is>
      </ns0:c>
      <ns0:c r="B6" s="2" t="inlineStr">
        <ns0:is>
          <ns0:t>收入为不含增值税概念口径，所得税简化按EBITDA扣产业折旧25%；附加税、土地税、土地摊销等未精算，正式可研必须重算。</ns0:t>
        </ns0:is>
      </ns0:c>
    </ns0:row>
    <ns0:row r="7" ht="38" customHeight="1">
      <ns0:c r="A7" s="4" t="inlineStr">
        <ns0:is>
          <ns0:t>收入限制</ns0:t>
        </ns0:is>
      </ns0:c>
      <ns0:c r="B7" s="4" t="inlineStr">
        <ns0:is>
          <ns0:t>不计土地出让、税收返还、政府运营付费、财政运维节省、未知补贴和未经落实碳收益。</ns0:t>
        </ns0:is>
      </ns0:c>
    </ns0:row>
    <ns0:row r="8" ht="38" customHeight="1">
      <ns0:c r="A8" s="2" t="inlineStr">
        <ns0:is>
          <ns0:t>偿债上限</ns0:t>
        </ns0:is>
      </ns0:c>
      <ns0:c r="B8" s="2" t="inlineStr">
        <ns0:is>
          <ns0:t>20年3.5%等额年本息假设，DSCR阈值1.30为审慎模型值，非监管统一硬线；爬坡期另算。</ns0:t>
        </ns0:is>
      </ns0:c>
    </ns0:row>
    <ns0:row r="9" ht="38" customHeight="1">
      <ns0:c r="A9" s="4" t="inlineStr">
        <ns0:is>
          <ns0:t>审计状态</ns0:t>
        </ns0:is>
      </ns0:c>
      <ns0:c r="B9" s="4" t="inlineStr">
        <ns0:is>
          <ns0:t>数值校核页由同一模型计算；公式页请用Excel打开自动重算。开启了自动计算。</ns0:t>
        </ns0:is>
      </ns0:c>
    </ns0:row>
    <ns0:row r="10" ht="38" customHeight="1">
      <ns0:c r="A10" s="2" t="inlineStr">
        <ns0:is>
          <ns0:t>资本金意义</ns0:t>
        </ns0:is>
      </ns0:c>
      <ns0:c r="B10" s="2" t="inlineStr">
        <ns0:is>
          <ns0:t>贷款比例降低只能改善偿债覆盖，不能把负项目净现值转为正值。</ns0:t>
        </ns0:is>
      </ns0:c>
    </ns0:row>
    <ns0:row r="11" ht="38" customHeight="1">
      <ns0:c r="A11" s="4" t="inlineStr">
        <ns0:is>
          <ns0:t>网络核验</ns0:t>
        </ns0:is>
      </ns0:c>
      <ns0:c r="B11" s="4" t="inlineStr">
        <ns0:is>
          <ns0:t>玉龙案例仅附件线索；本轮外网检索受环境白名单限制，未独立证实官方最新投资及进度。</ns0:t>
        </ns0:is>
      </ns0:c>
    </ns0:row>
    <ns0:row r="12">
      <ns0:c r="A12" t="inlineStr">
        <ns0:is>
          <ns0:t>污染防治深化修订</ns0:t>
        </ns0:is>
      </ns0:c>
      <ns0:c r="B12" t="inlineStr">
        <ns0:is>
          <ns0:t>水运行由3000暂列改为9324.125万元量价情景；初始4万吨与价格均待实测询价；分项预算在治理总额中分解，不重复相加。</ns0:t>
        </ns0:is>
      </ns0:c>
    </ns0:row>
    <ns0:row r="13">
      <ns0:c r="A13" t="inlineStr">
        <ns0:is>
          <ns0:t>污染防治深化修订</ns0:t>
        </ns0:is>
      </ns0:c>
      <ns0:c r="B13" t="inlineStr">
        <ns0:is>
          <ns0:t>水运行由3000暂列改为9324.125万元量价情景；初始4万吨与价格均待实测询价；分项预算在治理总额中分解，不重复相加。</ns0:t>
        </ns0:is>
      </ns0:c>
    </ns0:row>
  </ns0:sheetData>
  <ns0:autoFilter ref="A1:B11"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F11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设施/工作</ns0:t>
        </ns0:is>
      </ns0:c>
      <ns0:c r="B1" s="11" t="inlineStr">
        <ns0:is>
          <ns0:t>数量</ns0:t>
        </ns0:is>
      </ns0:c>
      <ns0:c r="C1" s="11" t="inlineStr">
        <ns0:is>
          <ns0:t>数量单位</ns0:t>
        </ns0:is>
      </ns0:c>
      <ns0:c r="D1" s="11" t="inlineStr">
        <ns0:is>
          <ns0:t>单价</ns0:t>
        </ns0:is>
      </ns0:c>
      <ns0:c r="E1" s="11" t="inlineStr">
        <ns0:is>
          <ns0:t>单价单位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密闭筛分车间</ns0:t>
        </ns0:is>
      </ns0:c>
      <ns0:c r="B2" s="13" t="n">
        <ns0:v>8000</ns0:v>
      </ns0:c>
      <ns0:c r="C2" s="12" t="inlineStr">
        <ns0:is>
          <ns0:t>m²</ns0:t>
        </ns0:is>
      </ns0:c>
      <ns0:c r="D2" s="13" t="n">
        <ns0:v>1800</ns0:v>
      </ns0:c>
      <ns0:c r="E2" s="12" t="inlineStr">
        <ns0:is>
          <ns0:t>元/m²</ns0:t>
        </ns0:is>
      </ns0:c>
      <ns0:c r="F2" s="13">
        <ns0:f>B2*D2/10000</ns0:f>
        <ns0:v>1440.0</ns0:v>
      </ns0:c>
    </ns0:row>
    <ns0:row r="3" ht="36" customHeight="1">
      <ns0:c r="A3" s="12" t="inlineStr">
        <ns0:is>
          <ns0:t>防雨防渗分仓暂存区</ns0:t>
        </ns0:is>
      </ns0:c>
      <ns0:c r="B3" s="13" t="n">
        <ns0:v>20000</ns0:v>
      </ns0:c>
      <ns0:c r="C3" s="12" t="inlineStr">
        <ns0:is>
          <ns0:t>m²</ns0:t>
        </ns0:is>
      </ns0:c>
      <ns0:c r="D3" s="13" t="n">
        <ns0:v>600</ns0:v>
      </ns0:c>
      <ns0:c r="E3" s="12" t="inlineStr">
        <ns0:is>
          <ns0:t>元/m²</ns0:t>
        </ns0:is>
      </ns0:c>
      <ns0:c r="F3" s="13">
        <ns0:f>B3*D3/10000</ns0:f>
        <ns0:v>1200.0</ns0:v>
      </ns0:c>
    </ns0:row>
    <ns0:row r="4" ht="36" customHeight="1">
      <ns0:c r="A4" s="12" t="inlineStr">
        <ns0:is>
          <ns0:t>可迁移开挖罩棚</ns0:t>
        </ns0:is>
      </ns0:c>
      <ns0:c r="B4" s="13" t="n">
        <ns0:v>3</ns0:v>
      </ns0:c>
      <ns0:c r="C4" s="12" t="inlineStr">
        <ns0:is>
          <ns0:t>套</ns0:t>
        </ns0:is>
      </ns0:c>
      <ns0:c r="D4" s="13" t="n">
        <ns0:v>240</ns0:v>
      </ns0:c>
      <ns0:c r="E4" s="12" t="inlineStr">
        <ns0:is>
          <ns0:t>万元/套</ns0:t>
        </ns0:is>
      </ns0:c>
      <ns0:c r="F4" s="13">
        <ns0:f>B4*D4</ns0:f>
        <ns0:v>720</ns0:v>
      </ns0:c>
    </ns0:row>
    <ns0:row r="5" ht="36" customHeight="1">
      <ns0:c r="A5" s="12" t="inlineStr">
        <ns0:is>
          <ns0:t>集中集气净化除臭单元</ns0:t>
        </ns0:is>
      </ns0:c>
      <ns0:c r="B5" s="13" t="n">
        <ns0:v>2</ns0:v>
      </ns0:c>
      <ns0:c r="C5" s="12" t="inlineStr">
        <ns0:is>
          <ns0:t>套</ns0:t>
        </ns0:is>
      </ns0:c>
      <ns0:c r="D5" s="13" t="n">
        <ns0:v>900</ns0:v>
      </ns0:c>
      <ns0:c r="E5" s="12" t="inlineStr">
        <ns0:is>
          <ns0:t>万元/套</ns0:t>
        </ns0:is>
      </ns0:c>
      <ns0:c r="F5" s="13">
        <ns0:f>B5*D5</ns0:f>
        <ns0:v>1800</ns0:v>
      </ns0:c>
    </ns0:row>
    <ns0:row r="6" ht="36" customHeight="1">
      <ns0:c r="A6" s="12" t="inlineStr">
        <ns0:is>
          <ns0:t>喷雾抑尘及消杀系统</ns0:t>
        </ns0:is>
      </ns0:c>
      <ns0:c r="B6" s="13" t="n">
        <ns0:v>5</ns0:v>
      </ns0:c>
      <ns0:c r="C6" s="12" t="inlineStr">
        <ns0:is>
          <ns0:t>套</ns0:t>
        </ns0:is>
      </ns0:c>
      <ns0:c r="D6" s="13" t="n">
        <ns0:v>30</ns0:v>
      </ns0:c>
      <ns0:c r="E6" s="12" t="inlineStr">
        <ns0:is>
          <ns0:t>万元/套</ns0:t>
        </ns0:is>
      </ns0:c>
      <ns0:c r="F6" s="13">
        <ns0:f>B6*D6</ns0:f>
        <ns0:v>150</ns0:v>
      </ns0:c>
    </ns0:row>
    <ns0:row r="7" ht="36" customHeight="1">
      <ns0:c r="A7" s="12" t="inlineStr">
        <ns0:is>
          <ns0:t>连续气体与气象检测</ns0:t>
        </ns0:is>
      </ns0:c>
      <ns0:c r="B7" s="13" t="n">
        <ns0:v>10</ns0:v>
      </ns0:c>
      <ns0:c r="C7" s="12" t="inlineStr">
        <ns0:is>
          <ns0:t>组</ns0:t>
        </ns0:is>
      </ns0:c>
      <ns0:c r="D7" s="13" t="n">
        <ns0:v>12</ns0:v>
      </ns0:c>
      <ns0:c r="E7" s="12" t="inlineStr">
        <ns0:is>
          <ns0:t>万元/组</ns0:t>
        </ns0:is>
      </ns0:c>
      <ns0:c r="F7" s="13">
        <ns0:f>B7*D7</ns0:f>
        <ns0:v>120</ns0:v>
      </ns0:c>
    </ns0:row>
    <ns0:row r="8" ht="36" customHeight="1">
      <ns0:c r="A8" s="12" t="inlineStr">
        <ns0:is>
          <ns0:t>输送卸料局部密闭集气</ns0:t>
        </ns0:is>
      </ns0:c>
      <ns0:c r="B8" s="13" t="n">
        <ns0:v>3</ns0:v>
      </ns0:c>
      <ns0:c r="C8" s="12" t="inlineStr">
        <ns0:is>
          <ns0:t>组</ns0:t>
        </ns0:is>
      </ns0:c>
      <ns0:c r="D8" s="13" t="n">
        <ns0:v>60</ns0:v>
      </ns0:c>
      <ns0:c r="E8" s="12" t="inlineStr">
        <ns0:is>
          <ns0:t>万元/组</ns0:t>
        </ns0:is>
      </ns0:c>
      <ns0:c r="F8" s="13">
        <ns0:f>B8*D8</ns0:f>
        <ns0:v>180</ns0:v>
      </ns0:c>
    </ns0:row>
    <ns0:row r="9" ht="36" customHeight="1">
      <ns0:c r="A9" s="12" t="inlineStr">
        <ns0:is>
          <ns0:t>防爆电气、消防与应急保障</ns0:t>
        </ns0:is>
      </ns0:c>
      <ns0:c r="B9" s="13" t="n">
        <ns0:v>1</ns0:v>
      </ns0:c>
      <ns0:c r="C9" s="12" t="inlineStr">
        <ns0:is>
          <ns0:t>项</ns0:t>
        </ns0:is>
      </ns0:c>
      <ns0:c r="D9" s="13" t="n">
        <ns0:v>290</ns0:v>
      </ns0:c>
      <ns0:c r="E9" s="12" t="inlineStr">
        <ns0:is>
          <ns0:t>万元/项</ns0:t>
        </ns0:is>
      </ns0:c>
      <ns0:c r="F9" s="13">
        <ns0:f>B9*D9</ns0:f>
        <ns0:v>290</ns0:v>
      </ns0:c>
    </ns0:row>
    <ns0:row r="10" ht="36" customHeight="1">
      <ns0:c r="A10" s="12" t="inlineStr">
        <ns0:is>
          <ns0:t>集气管网阀门与备用风机</ns0:t>
        </ns0:is>
      </ns0:c>
      <ns0:c r="B10" s="13" t="n">
        <ns0:v>1</ns0:v>
      </ns0:c>
      <ns0:c r="C10" s="12" t="inlineStr">
        <ns0:is>
          <ns0:t>项</ns0:t>
        </ns0:is>
      </ns0:c>
      <ns0:c r="D10" s="13" t="n">
        <ns0:v>300</ns0:v>
      </ns0:c>
      <ns0:c r="E10" s="12" t="inlineStr">
        <ns0:is>
          <ns0:t>万元/项</ns0:t>
        </ns0:is>
      </ns0:c>
      <ns0:c r="F10" s="13">
        <ns0:f>B10*D10</ns0:f>
        <ns0:v>300</ns0:v>
      </ns0:c>
    </ns0:row>
    <ns0:row r="11" ht="36" customHeight="1">
      <ns0:c r="A11" s="12" t="inlineStr">
        <ns0:is>
          <ns0:t>合计</ns0:t>
        </ns0:is>
      </ns0:c>
      <ns0:c r="B11" s="13" t="inlineStr"/>
      <ns0:c r="C11" s="12" t="inlineStr"/>
      <ns0:c r="D11" s="13" t="inlineStr"/>
      <ns0:c r="E11" s="12" t="inlineStr"/>
      <ns0:c r="F11" s="13">
        <ns0:f>SUM(F2:F10)</ns0:f>
        <ns0:v>6200.0</ns0:v>
      </ns0:c>
    </ns0:row>
  </ns0:sheetData>
  <ns0:autoFilter ref="A1:F11"/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F11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设施/工作</ns0:t>
        </ns0:is>
      </ns0:c>
      <ns0:c r="B1" s="11" t="inlineStr">
        <ns0:is>
          <ns0:t>数量</ns0:t>
        </ns0:is>
      </ns0:c>
      <ns0:c r="C1" s="11" t="inlineStr">
        <ns0:is>
          <ns0:t>数量单位</ns0:t>
        </ns0:is>
      </ns0:c>
      <ns0:c r="D1" s="11" t="inlineStr">
        <ns0:is>
          <ns0:t>单价</ns0:t>
        </ns0:is>
      </ns0:c>
      <ns0:c r="E1" s="11" t="inlineStr">
        <ns0:is>
          <ns0:t>单价单位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现有池清淤修缮与防渗复核</ns0:t>
        </ns0:is>
      </ns0:c>
      <ns0:c r="B2" s="13" t="n">
        <ns0:v>2</ns0:v>
      </ns0:c>
      <ns0:c r="C2" s="12" t="inlineStr">
        <ns0:is>
          <ns0:t>设施</ns0:t>
        </ns0:is>
      </ns0:c>
      <ns0:c r="D2" s="13" t="n">
        <ns0:v>180</ns0:v>
      </ns0:c>
      <ns0:c r="E2" s="12" t="inlineStr">
        <ns0:is>
          <ns0:t>万元/设施</ns0:t>
        </ns0:is>
      </ns0:c>
      <ns0:c r="F2" s="13">
        <ns0:f>B2*D2</ns0:f>
        <ns0:v>360</ns0:v>
      </ns0:c>
    </ns0:row>
    <ns0:row r="3" ht="36" customHeight="1">
      <ns0:c r="A3" s="12" t="inlineStr">
        <ns0:is>
          <ns0:t>新增分格应急调蓄池</ns0:t>
        </ns0:is>
      </ns0:c>
      <ns0:c r="B3" s="13" t="n">
        <ns0:v>3000</ns0:v>
      </ns0:c>
      <ns0:c r="C3" s="12" t="inlineStr">
        <ns0:is>
          <ns0:t>m³</ns0:t>
        </ns0:is>
      </ns0:c>
      <ns0:c r="D3" s="13" t="n">
        <ns0:v>900</ns0:v>
      </ns0:c>
      <ns0:c r="E3" s="12" t="inlineStr">
        <ns0:is>
          <ns0:t>元/m³</ns0:t>
        </ns0:is>
      </ns0:c>
      <ns0:c r="F3" s="13">
        <ns0:f>B3*D3/10000</ns0:f>
        <ns0:v>270.0</ns0:v>
      </ns0:c>
    </ns0:row>
    <ns0:row r="4" ht="36" customHeight="1">
      <ns0:c r="A4" s="12" t="inlineStr">
        <ns0:is>
          <ns0:t>新增水处理模块</ns0:t>
        </ns0:is>
      </ns0:c>
      <ns0:c r="B4" s="13" t="n">
        <ns0:v>300</ns0:v>
      </ns0:c>
      <ns0:c r="C4" s="12" t="inlineStr">
        <ns0:is>
          <ns0:t>t/d</ns0:t>
        </ns0:is>
      </ns0:c>
      <ns0:c r="D4" s="13" t="n">
        <ns0:v>35000</ns0:v>
      </ns0:c>
      <ns0:c r="E4" s="12" t="inlineStr">
        <ns0:is>
          <ns0:t>元/(t/d)</ns0:t>
        </ns0:is>
      </ns0:c>
      <ns0:c r="F4" s="13">
        <ns0:f>B4*D4/10000</ns0:f>
        <ns0:v>1050.0</ns0:v>
      </ns0:c>
    </ns0:row>
    <ns0:row r="5" ht="36" customHeight="1">
      <ns0:c r="A5" s="12" t="inlineStr">
        <ns0:is>
          <ns0:t>截排水管沟、盲沟与泵组</ns0:t>
        </ns0:is>
      </ns0:c>
      <ns0:c r="B5" s="13" t="n">
        <ns0:v>1200</ns0:v>
      </ns0:c>
      <ns0:c r="C5" s="12" t="inlineStr">
        <ns0:is>
          <ns0:t>m</ns0:t>
        </ns0:is>
      </ns0:c>
      <ns0:c r="D5" s="13" t="n">
        <ns0:v>2500</ns0:v>
      </ns0:c>
      <ns0:c r="E5" s="12" t="inlineStr">
        <ns0:is>
          <ns0:t>元/m</ns0:t>
        </ns0:is>
      </ns0:c>
      <ns0:c r="F5" s="13">
        <ns0:f>B5*D5/10000</ns0:f>
        <ns0:v>300.0</ns0:v>
      </ns0:c>
    </ns0:row>
    <ns0:row r="6" ht="36" customHeight="1">
      <ns0:c r="A6" s="12" t="inlineStr">
        <ns0:is>
          <ns0:t>泵电与应急设施</ns0:t>
        </ns0:is>
      </ns0:c>
      <ns0:c r="B6" s="13" t="n">
        <ns0:v>1</ns0:v>
      </ns0:c>
      <ns0:c r="C6" s="12" t="inlineStr">
        <ns0:is>
          <ns0:t>项</ns0:t>
        </ns0:is>
      </ns0:c>
      <ns0:c r="D6" s="13" t="n">
        <ns0:v>120</ns0:v>
      </ns0:c>
      <ns0:c r="E6" s="12" t="inlineStr">
        <ns0:is>
          <ns0:t>万元/项</ns0:t>
        </ns0:is>
      </ns0:c>
      <ns0:c r="F6" s="13">
        <ns0:f>B6*D6</ns0:f>
        <ns0:v>120</ns0:v>
      </ns0:c>
    </ns0:row>
    <ns0:row r="7" ht="36" customHeight="1">
      <ns0:c r="A7" s="12" t="inlineStr">
        <ns0:is>
          <ns0:t>独立浓缩液贮槽</ns0:t>
        </ns0:is>
      </ns0:c>
      <ns0:c r="B7" s="13" t="n">
        <ns0:v>300</ns0:v>
      </ns0:c>
      <ns0:c r="C7" s="12" t="inlineStr">
        <ns0:is>
          <ns0:t>m³</ns0:t>
        </ns0:is>
      </ns0:c>
      <ns0:c r="D7" s="13" t="n">
        <ns0:v>4500</ns0:v>
      </ns0:c>
      <ns0:c r="E7" s="12" t="inlineStr">
        <ns0:is>
          <ns0:t>元/m³</ns0:t>
        </ns0:is>
      </ns0:c>
      <ns0:c r="F7" s="13">
        <ns0:f>B7*D7/10000</ns0:f>
        <ns0:v>135.0</ns0:v>
      </ns0:c>
    </ns0:row>
    <ns0:row r="8" ht="36" customHeight="1">
      <ns0:c r="A8" s="12" t="inlineStr">
        <ns0:is>
          <ns0:t>流量、液位与报警</ns0:t>
        </ns0:is>
      </ns0:c>
      <ns0:c r="B8" s="13" t="n">
        <ns0:v>1</ns0:v>
      </ns0:c>
      <ns0:c r="C8" s="12" t="inlineStr">
        <ns0:is>
          <ns0:t>项</ns0:t>
        </ns0:is>
      </ns0:c>
      <ns0:c r="D8" s="13" t="n">
        <ns0:v>80</ns0:v>
      </ns0:c>
      <ns0:c r="E8" s="12" t="inlineStr">
        <ns0:is>
          <ns0:t>万元/项</ns0:t>
        </ns0:is>
      </ns0:c>
      <ns0:c r="F8" s="13">
        <ns0:f>B8*D8</ns0:f>
        <ns0:v>80</ns0:v>
      </ns0:c>
    </ns0:row>
    <ns0:row r="9" ht="36" customHeight="1">
      <ns0:c r="A9" s="12" t="inlineStr">
        <ns0:is>
          <ns0:t>均质及预处理完善</ns0:t>
        </ns0:is>
      </ns0:c>
      <ns0:c r="B9" s="13" t="n">
        <ns0:v>1</ns0:v>
      </ns0:c>
      <ns0:c r="C9" s="12" t="inlineStr">
        <ns0:is>
          <ns0:t>项</ns0:t>
        </ns0:is>
      </ns0:c>
      <ns0:c r="D9" s="13" t="n">
        <ns0:v>160</ns0:v>
      </ns0:c>
      <ns0:c r="E9" s="12" t="inlineStr">
        <ns0:is>
          <ns0:t>万元/项</ns0:t>
        </ns0:is>
      </ns0:c>
      <ns0:c r="F9" s="13">
        <ns0:f>B9*D9</ns0:f>
        <ns0:v>160</ns0:v>
      </ns0:c>
    </ns0:row>
    <ns0:row r="10" ht="36" customHeight="1">
      <ns0:c r="A10" s="12" t="inlineStr">
        <ns0:is>
          <ns0:t>水质试验及调试</ns0:t>
        </ns0:is>
      </ns0:c>
      <ns0:c r="B10" s="13" t="n">
        <ns0:v>1</ns0:v>
      </ns0:c>
      <ns0:c r="C10" s="12" t="inlineStr">
        <ns0:is>
          <ns0:t>项</ns0:t>
        </ns0:is>
      </ns0:c>
      <ns0:c r="D10" s="13" t="n">
        <ns0:v>25</ns0:v>
      </ns0:c>
      <ns0:c r="E10" s="12" t="inlineStr">
        <ns0:is>
          <ns0:t>万元/项</ns0:t>
        </ns0:is>
      </ns0:c>
      <ns0:c r="F10" s="13">
        <ns0:f>B10*D10</ns0:f>
        <ns0:v>25</ns0:v>
      </ns0:c>
    </ns0:row>
    <ns0:row r="11" ht="36" customHeight="1">
      <ns0:c r="A11" s="12" t="inlineStr">
        <ns0:is>
          <ns0:t>合计</ns0:t>
        </ns0:is>
      </ns0:c>
      <ns0:c r="B11" s="13" t="inlineStr"/>
      <ns0:c r="C11" s="12" t="inlineStr"/>
      <ns0:c r="D11" s="13" t="inlineStr"/>
      <ns0:c r="E11" s="12" t="inlineStr"/>
      <ns0:c r="F11" s="13">
        <ns0:f>SUM(F2:F10)</ns0:f>
        <ns0:v>2500.0</ns0:v>
      </ns0:c>
    </ns0:row>
  </ns0:sheetData>
  <ns0:autoFilter ref="A1:F11"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F12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设施/工作</ns0:t>
        </ns0:is>
      </ns0:c>
      <ns0:c r="B1" s="11" t="inlineStr">
        <ns0:is>
          <ns0:t>数量</ns0:t>
        </ns0:is>
      </ns0:c>
      <ns0:c r="C1" s="11" t="inlineStr">
        <ns0:is>
          <ns0:t>数量单位</ns0:t>
        </ns0:is>
      </ns0:c>
      <ns0:c r="D1" s="11" t="inlineStr">
        <ns0:is>
          <ns0:t>单价</ns0:t>
        </ns0:is>
      </ns0:c>
      <ns0:c r="E1" s="11" t="inlineStr">
        <ns0:is>
          <ns0:t>单价单位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地下水</ns0:t>
        </ns0:is>
      </ns0:c>
      <ns0:c r="B2" s="13" t="n">
        <ns0:v>1560</ns0:v>
      </ns0:c>
      <ns0:c r="C2" s="12" t="inlineStr">
        <ns0:is>
          <ns0:t>井次</ns0:t>
        </ns0:is>
      </ns0:c>
      <ns0:c r="D2" s="13" t="n">
        <ns0:v>1800</ns0:v>
      </ns0:c>
      <ns0:c r="E2" s="12" t="inlineStr">
        <ns0:is>
          <ns0:t>元/井次</ns0:t>
        </ns0:is>
      </ns0:c>
      <ns0:c r="F2" s="13">
        <ns0:f>B2*D2/10000</ns0:f>
        <ns0:v>280.8</ns0:v>
      </ns0:c>
    </ns0:row>
    <ns0:row r="3" ht="36" customHeight="1">
      <ns0:c r="A3" s="12" t="inlineStr">
        <ns0:is>
          <ns0:t>地表水</ns0:t>
        </ns0:is>
      </ns0:c>
      <ns0:c r="B3" s="13" t="n">
        <ns0:v>780</ns0:v>
      </ns0:c>
      <ns0:c r="C3" s="12" t="inlineStr">
        <ns0:is>
          <ns0:t>断面次</ns0:t>
        </ns0:is>
      </ns0:c>
      <ns0:c r="D3" s="13" t="n">
        <ns0:v>900</ns0:v>
      </ns0:c>
      <ns0:c r="E3" s="12" t="inlineStr">
        <ns0:is>
          <ns0:t>元/断面次</ns0:t>
        </ns0:is>
      </ns0:c>
      <ns0:c r="F3" s="13">
        <ns0:f>B3*D3/10000</ns0:f>
        <ns0:v>70.2</ns0:v>
      </ns0:c>
    </ns0:row>
    <ns0:row r="4" ht="36" customHeight="1">
      <ns0:c r="A4" s="12" t="inlineStr">
        <ns0:is>
          <ns0:t>场界与敏感点气味颗粒物</ns0:t>
        </ns0:is>
      </ns0:c>
      <ns0:c r="B4" s="13" t="n">
        <ns0:v>360</ns0:v>
      </ns0:c>
      <ns0:c r="C4" s="12" t="inlineStr">
        <ns0:is>
          <ns0:t>点次</ns0:t>
        </ns0:is>
      </ns0:c>
      <ns0:c r="D4" s="13" t="n">
        <ns0:v>2500</ns0:v>
      </ns0:c>
      <ns0:c r="E4" s="12" t="inlineStr">
        <ns0:is>
          <ns0:t>元/点次</ns0:t>
        </ns0:is>
      </ns0:c>
      <ns0:c r="F4" s="13">
        <ns0:f>B4*D4/10000</ns0:f>
        <ns0:v>90.0</ns0:v>
      </ns0:c>
    </ns0:row>
    <ns0:row r="5" ht="36" customHeight="1">
      <ns0:c r="A5" s="12" t="inlineStr">
        <ns0:is>
          <ns0:t>有组织废气</ns0:t>
        </ns0:is>
      </ns0:c>
      <ns0:c r="B5" s="13" t="n">
        <ns0:v>120</ns0:v>
      </ns0:c>
      <ns0:c r="C5" s="12" t="inlineStr">
        <ns0:is>
          <ns0:t>口次</ns0:t>
        </ns0:is>
      </ns0:c>
      <ns0:c r="D5" s="13" t="n">
        <ns0:v>3500</ns0:v>
      </ns0:c>
      <ns0:c r="E5" s="12" t="inlineStr">
        <ns0:is>
          <ns0:t>元/口次</ns0:t>
        </ns0:is>
      </ns0:c>
      <ns0:c r="F5" s="13">
        <ns0:f>B5*D5/10000</ns0:f>
        <ns0:v>42.0</ns0:v>
      </ns0:c>
    </ns0:row>
    <ns0:row r="6" ht="36" customHeight="1">
      <ns0:c r="A6" s="12" t="inlineStr">
        <ns0:is>
          <ns0:t>渗滤液/出水/浓缩液</ns0:t>
        </ns0:is>
      </ns0:c>
      <ns0:c r="B6" s="13" t="n">
        <ns0:v>180</ns0:v>
      </ns0:c>
      <ns0:c r="C6" s="12" t="inlineStr">
        <ns0:is>
          <ns0:t>点次</ns0:t>
        </ns0:is>
      </ns0:c>
      <ns0:c r="D6" s="13" t="n">
        <ns0:v>3000</ns0:v>
      </ns0:c>
      <ns0:c r="E6" s="12" t="inlineStr">
        <ns0:is>
          <ns0:t>元/点次</ns0:t>
        </ns0:is>
      </ns0:c>
      <ns0:c r="F6" s="13">
        <ns0:f>B6*D6/10000</ns0:f>
        <ns0:v>54.0</ns0:v>
      </ns0:c>
    </ns0:row>
    <ns0:row r="7" ht="36" customHeight="1">
      <ns0:c r="A7" s="12" t="inlineStr">
        <ns0:is>
          <ns0:t>噪声</ns0:t>
        </ns0:is>
      </ns0:c>
      <ns0:c r="B7" s="13" t="n">
        <ns0:v>240</ns0:v>
      </ns0:c>
      <ns0:c r="C7" s="12" t="inlineStr">
        <ns0:is>
          <ns0:t>点次</ns0:t>
        </ns0:is>
      </ns0:c>
      <ns0:c r="D7" s="13" t="n">
        <ns0:v>500</ns0:v>
      </ns0:c>
      <ns0:c r="E7" s="12" t="inlineStr">
        <ns0:is>
          <ns0:t>元/点次</ns0:t>
        </ns0:is>
      </ns0:c>
      <ns0:c r="F7" s="13">
        <ns0:f>B7*D7/10000</ns0:f>
        <ns0:v>12.0</ns0:v>
      </ns0:c>
    </ns0:row>
    <ns0:row r="8" ht="36" customHeight="1">
      <ns0:c r="A8" s="12" t="inlineStr">
        <ns0:is>
          <ns0:t>产物验证性CMA检测</ns0:t>
        </ns0:is>
      </ns0:c>
      <ns0:c r="B8" s="13" t="n">
        <ns0:v>240</ns0:v>
      </ns0:c>
      <ns0:c r="C8" s="12" t="inlineStr">
        <ns0:is>
          <ns0:t>组</ns0:t>
        </ns0:is>
      </ns0:c>
      <ns0:c r="D8" s="13" t="n">
        <ns0:v>4500</ns0:v>
      </ns0:c>
      <ns0:c r="E8" s="12" t="inlineStr">
        <ns0:is>
          <ns0:t>元/组</ns0:t>
        </ns0:is>
      </ns0:c>
      <ns0:c r="F8" s="13">
        <ns0:f>B8*D8/10000</ns0:f>
        <ns0:v>108.0</ns0:v>
      </ns0:c>
    </ns0:row>
    <ns0:row r="9" ht="36" customHeight="1">
      <ns0:c r="A9" s="12" t="inlineStr">
        <ns0:is>
          <ns0:t>独立治理效果评估</ns0:t>
        </ns0:is>
      </ns0:c>
      <ns0:c r="B9" s="13" t="n">
        <ns0:v>1</ns0:v>
      </ns0:c>
      <ns0:c r="C9" s="12" t="inlineStr">
        <ns0:is>
          <ns0:t>项</ns0:t>
        </ns0:is>
      </ns0:c>
      <ns0:c r="D9" s="13" t="n">
        <ns0:v>90</ns0:v>
      </ns0:c>
      <ns0:c r="E9" s="12" t="inlineStr">
        <ns0:is>
          <ns0:t>万元/项</ns0:t>
        </ns0:is>
      </ns0:c>
      <ns0:c r="F9" s="13">
        <ns0:f>B9*D9</ns0:f>
        <ns0:v>90</ns0:v>
      </ns0:c>
    </ns0:row>
    <ns0:row r="10" ht="36" customHeight="1">
      <ns0:c r="A10" s="12" t="inlineStr">
        <ns0:is>
          <ns0:t>环保专项巡查与联单审查</ns0:t>
        </ns0:is>
      </ns0:c>
      <ns0:c r="B10" s="13" t="n">
        <ns0:v>1</ns0:v>
      </ns0:c>
      <ns0:c r="C10" s="12" t="inlineStr">
        <ns0:is>
          <ns0:t>项</ns0:t>
        </ns0:is>
      </ns0:c>
      <ns0:c r="D10" s="13" t="n">
        <ns0:v>153</ns0:v>
      </ns0:c>
      <ns0:c r="E10" s="12" t="inlineStr">
        <ns0:is>
          <ns0:t>万元/项</ns0:t>
        </ns0:is>
      </ns0:c>
      <ns0:c r="F10" s="13">
        <ns0:f>B10*D10</ns0:f>
        <ns0:v>153</ns0:v>
      </ns0:c>
    </ns0:row>
    <ns0:row r="11" ht="36" customHeight="1">
      <ns0:c r="A11" s="12" t="inlineStr">
        <ns0:is>
          <ns0:t>仪表校准及数据质量维护</ns0:t>
        </ns0:is>
      </ns0:c>
      <ns0:c r="B11" s="13" t="n">
        <ns0:v>1</ns0:v>
      </ns0:c>
      <ns0:c r="C11" s="12" t="inlineStr">
        <ns0:is>
          <ns0:t>项</ns0:t>
        </ns0:is>
      </ns0:c>
      <ns0:c r="D11" s="13" t="n">
        <ns0:v>100</ns0:v>
      </ns0:c>
      <ns0:c r="E11" s="12" t="inlineStr">
        <ns0:is>
          <ns0:t>万元/项</ns0:t>
        </ns0:is>
      </ns0:c>
      <ns0:c r="F11" s="13">
        <ns0:f>B11*D11</ns0:f>
        <ns0:v>100</ns0:v>
      </ns0:c>
    </ns0:row>
    <ns0:row r="12" ht="36" customHeight="1">
      <ns0:c r="A12" s="12" t="inlineStr">
        <ns0:is>
          <ns0:t>合计</ns0:t>
        </ns0:is>
      </ns0:c>
      <ns0:c r="B12" s="13" t="inlineStr"/>
      <ns0:c r="C12" s="12" t="inlineStr"/>
      <ns0:c r="D12" s="13" t="inlineStr"/>
      <ns0:c r="E12" s="12" t="inlineStr"/>
      <ns0:c r="F12" s="13">
        <ns0:f>SUM(F2:F11)</ns0:f>
        <ns0:v>1000.0</ns0:v>
      </ns0:c>
    </ns0:row>
  </ns0:sheetData>
  <ns0:autoFilter ref="A1:F12"/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F8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设施/工作</ns0:t>
        </ns0:is>
      </ns0:c>
      <ns0:c r="B1" s="11" t="inlineStr">
        <ns0:is>
          <ns0:t>数量</ns0:t>
        </ns0:is>
      </ns0:c>
      <ns0:c r="C1" s="11" t="inlineStr">
        <ns0:is>
          <ns0:t>数量单位</ns0:t>
        </ns0:is>
      </ns0:c>
      <ns0:c r="D1" s="11" t="inlineStr">
        <ns0:is>
          <ns0:t>单价</ns0:t>
        </ns0:is>
      </ns0:c>
      <ns0:c r="E1" s="11" t="inlineStr">
        <ns0:is>
          <ns0:t>单价单位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井网补建及水文试验</ns0:t>
        </ns0:is>
      </ns0:c>
      <ns0:c r="B2" s="13" t="n">
        <ns0:v>8</ns0:v>
      </ns0:c>
      <ns0:c r="C2" s="12" t="inlineStr">
        <ns0:is>
          <ns0:t>井</ns0:t>
        </ns0:is>
      </ns0:c>
      <ns0:c r="D2" s="13" t="n">
        <ns0:v>15</ns0:v>
      </ns0:c>
      <ns0:c r="E2" s="12" t="inlineStr">
        <ns0:is>
          <ns0:t>万元/井</ns0:t>
        </ns0:is>
      </ns0:c>
      <ns0:c r="F2" s="13">
        <ns0:f>B2*D2</ns0:f>
        <ns0:v>120</ns0:v>
      </ns0:c>
    </ns0:row>
    <ns0:row r="3" ht="36" customHeight="1">
      <ns0:c r="A3" s="12" t="inlineStr">
        <ns0:is>
          <ns0:t>拦截抽提井泵系统</ns0:t>
        </ns0:is>
      </ns0:c>
      <ns0:c r="B3" s="13" t="n">
        <ns0:v>4</ns0:v>
      </ns0:c>
      <ns0:c r="C3" s="12" t="inlineStr">
        <ns0:is>
          <ns0:t>套</ns0:t>
        </ns0:is>
      </ns0:c>
      <ns0:c r="D3" s="13" t="n">
        <ns0:v>60</ns0:v>
      </ns0:c>
      <ns0:c r="E3" s="12" t="inlineStr">
        <ns0:is>
          <ns0:t>万元/套</ns0:t>
        </ns0:is>
      </ns0:c>
      <ns0:c r="F3" s="13">
        <ns0:f>B3*D3</ns0:f>
        <ns0:v>240</ns0:v>
      </ns0:c>
    </ns0:row>
    <ns0:row r="4" ht="36" customHeight="1">
      <ns0:c r="A4" s="12" t="inlineStr">
        <ns0:is>
          <ns0:t>独立地下水处理设施</ns0:t>
        </ns0:is>
      </ns0:c>
      <ns0:c r="B4" s="13" t="n">
        <ns0:v>100</ns0:v>
      </ns0:c>
      <ns0:c r="C4" s="12" t="inlineStr">
        <ns0:is>
          <ns0:t>t/d</ns0:t>
        </ns0:is>
      </ns0:c>
      <ns0:c r="D4" s="13" t="n">
        <ns0:v>40000</ns0:v>
      </ns0:c>
      <ns0:c r="E4" s="12" t="inlineStr">
        <ns0:is>
          <ns0:t>元/(t/d)</ns0:t>
        </ns0:is>
      </ns0:c>
      <ns0:c r="F4" s="13">
        <ns0:f>B4*D4/10000</ns0:f>
        <ns0:v>400.0</ns0:v>
      </ns0:c>
    </ns0:row>
    <ns0:row r="5" ht="36" customHeight="1">
      <ns0:c r="A5" s="12" t="inlineStr">
        <ns0:is>
          <ns0:t>屏障/原位措施试验与实施</ns0:t>
        </ns0:is>
      </ns0:c>
      <ns0:c r="B5" s="13" t="n">
        <ns0:v>1</ns0:v>
      </ns0:c>
      <ns0:c r="C5" s="12" t="inlineStr">
        <ns0:is>
          <ns0:t>项</ns0:t>
        </ns0:is>
      </ns0:c>
      <ns0:c r="D5" s="13" t="n">
        <ns0:v>260</ns0:v>
      </ns0:c>
      <ns0:c r="E5" s="12" t="inlineStr">
        <ns0:is>
          <ns0:t>万元/项</ns0:t>
        </ns0:is>
      </ns0:c>
      <ns0:c r="F5" s="13">
        <ns0:f>B5*D5</ns0:f>
        <ns0:v>260</ns0:v>
      </ns0:c>
    </ns0:row>
    <ns0:row r="6" ht="36" customHeight="1">
      <ns0:c r="A6" s="12" t="inlineStr">
        <ns0:is>
          <ns0:t>初期治理运维</ns0:t>
        </ns0:is>
      </ns0:c>
      <ns0:c r="B6" s="13" t="n">
        <ns0:v>5</ns0:v>
      </ns0:c>
      <ns0:c r="C6" s="12" t="inlineStr">
        <ns0:is>
          <ns0:t>年</ns0:t>
        </ns0:is>
      </ns0:c>
      <ns0:c r="D6" s="13" t="n">
        <ns0:v>80</ns0:v>
      </ns0:c>
      <ns0:c r="E6" s="12" t="inlineStr">
        <ns0:is>
          <ns0:t>万元/年</ns0:t>
        </ns0:is>
      </ns0:c>
      <ns0:c r="F6" s="13">
        <ns0:f>B6*D6</ns0:f>
        <ns0:v>400</ns0:v>
      </ns0:c>
    </ns0:row>
    <ns0:row r="7" ht="36" customHeight="1">
      <ns0:c r="A7" s="12" t="inlineStr">
        <ns0:is>
          <ns0:t>配套泵管、供电与控制</ns0:t>
        </ns0:is>
      </ns0:c>
      <ns0:c r="B7" s="13" t="n">
        <ns0:v>1</ns0:v>
      </ns0:c>
      <ns0:c r="C7" s="12" t="inlineStr">
        <ns0:is>
          <ns0:t>项</ns0:t>
        </ns0:is>
      </ns0:c>
      <ns0:c r="D7" s="13" t="n">
        <ns0:v>180</ns0:v>
      </ns0:c>
      <ns0:c r="E7" s="12" t="inlineStr">
        <ns0:is>
          <ns0:t>万元/项</ns0:t>
        </ns0:is>
      </ns0:c>
      <ns0:c r="F7" s="13">
        <ns0:f>B7*D7</ns0:f>
        <ns0:v>180</ns0:v>
      </ns0:c>
    </ns0:row>
    <ns0:row r="8" ht="36" customHeight="1">
      <ns0:c r="A8" s="12" t="inlineStr">
        <ns0:is>
          <ns0:t>合计</ns0:t>
        </ns0:is>
      </ns0:c>
      <ns0:c r="B8" s="13" t="inlineStr"/>
      <ns0:c r="C8" s="12" t="inlineStr"/>
      <ns0:c r="D8" s="13" t="inlineStr"/>
      <ns0:c r="E8" s="12" t="inlineStr"/>
      <ns0:c r="F8" s="13">
        <ns0:f>SUM(F2:F7)</ns0:f>
        <ns0:v>1600.0</ns0:v>
      </ns0:c>
    </ns0:row>
  </ns0:sheetData>
  <ns0:autoFilter ref="A1:F8"/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A1:F9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设施/工作</ns0:t>
        </ns0:is>
      </ns0:c>
      <ns0:c r="B1" s="11" t="inlineStr">
        <ns0:is>
          <ns0:t>数量</ns0:t>
        </ns0:is>
      </ns0:c>
      <ns0:c r="C1" s="11" t="inlineStr">
        <ns0:is>
          <ns0:t>数量单位</ns0:t>
        </ns0:is>
      </ns0:c>
      <ns0:c r="D1" s="11" t="inlineStr">
        <ns0:is>
          <ns0:t>单价</ns0:t>
        </ns0:is>
      </ns0:c>
      <ns0:c r="E1" s="11" t="inlineStr">
        <ns0:is>
          <ns0:t>单价单位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堆体降液位井泵与抽排</ns0:t>
        </ns0:is>
      </ns0:c>
      <ns0:c r="B2" s="13" t="n">
        <ns0:v>1</ns0:v>
      </ns0:c>
      <ns0:c r="C2" s="12" t="inlineStr">
        <ns0:is>
          <ns0:t>项</ns0:t>
        </ns0:is>
      </ns0:c>
      <ns0:c r="D2" s="13" t="n">
        <ns0:v>1700</ns0:v>
      </ns0:c>
      <ns0:c r="E2" s="12" t="inlineStr">
        <ns0:is>
          <ns0:t>万元/项</ns0:t>
        </ns0:is>
      </ns0:c>
      <ns0:c r="F2" s="13">
        <ns0:f>B2*D2</ns0:f>
        <ns0:v>1700</ns0:v>
      </ns0:c>
    </ns0:row>
    <ns0:row r="3" ht="36" customHeight="1">
      <ns0:c r="A3" s="12" t="inlineStr">
        <ns0:is>
          <ns0:t>好氧抽注井及管网</ns0:t>
        </ns0:is>
      </ns0:c>
      <ns0:c r="B3" s="13" t="n">
        <ns0:v>1</ns0:v>
      </ns0:c>
      <ns0:c r="C3" s="12" t="inlineStr">
        <ns0:is>
          <ns0:t>项</ns0:t>
        </ns0:is>
      </ns0:c>
      <ns0:c r="D3" s="13" t="n">
        <ns0:v>2600</ns0:v>
      </ns0:c>
      <ns0:c r="E3" s="12" t="inlineStr">
        <ns0:is>
          <ns0:t>万元/项</ns0:t>
        </ns0:is>
      </ns0:c>
      <ns0:c r="F3" s="13">
        <ns0:f>B3*D3</ns0:f>
        <ns0:v>2600</ns0:v>
      </ns0:c>
    </ns0:row>
    <ns0:row r="4" ht="36" customHeight="1">
      <ns0:c r="A4" s="12" t="inlineStr">
        <ns0:is>
          <ns0:t>可移动抽注气机组</ns0:t>
        </ns0:is>
      </ns0:c>
      <ns0:c r="B4" s="13" t="n">
        <ns0:v>1</ns0:v>
      </ns0:c>
      <ns0:c r="C4" s="12" t="inlineStr">
        <ns0:is>
          <ns0:t>项</ns0:t>
        </ns0:is>
      </ns0:c>
      <ns0:c r="D4" s="13" t="n">
        <ns0:v>1600</ns0:v>
      </ns0:c>
      <ns0:c r="E4" s="12" t="inlineStr">
        <ns0:is>
          <ns0:t>万元/项</ns0:t>
        </ns0:is>
      </ns0:c>
      <ns0:c r="F4" s="13">
        <ns0:f>B4*D4</ns0:f>
        <ns0:v>1600</ns0:v>
      </ns0:c>
    </ns0:row>
    <ns0:row r="5" ht="36" customHeight="1">
      <ns0:c r="A5" s="12" t="inlineStr">
        <ns0:is>
          <ns0:t>气水温专项控制</ns0:t>
        </ns0:is>
      </ns0:c>
      <ns0:c r="B5" s="13" t="n">
        <ns0:v>1</ns0:v>
      </ns0:c>
      <ns0:c r="C5" s="12" t="inlineStr">
        <ns0:is>
          <ns0:t>项</ns0:t>
        </ns0:is>
      </ns0:c>
      <ns0:c r="D5" s="13" t="n">
        <ns0:v>600</ns0:v>
      </ns0:c>
      <ns0:c r="E5" s="12" t="inlineStr">
        <ns0:is>
          <ns0:t>万元/项</ns0:t>
        </ns0:is>
      </ns0:c>
      <ns0:c r="F5" s="13">
        <ns0:f>B5*D5</ns0:f>
        <ns0:v>600</ns0:v>
      </ns0:c>
    </ns0:row>
    <ns0:row r="6" ht="36" customHeight="1">
      <ns0:c r="A6" s="12" t="inlineStr">
        <ns0:is>
          <ns0:t>预处理电耗人工及耗材</ns0:t>
        </ns0:is>
      </ns0:c>
      <ns0:c r="B6" s="13" t="n">
        <ns0:v>1</ns0:v>
      </ns0:c>
      <ns0:c r="C6" s="12" t="inlineStr">
        <ns0:is>
          <ns0:t>项</ns0:t>
        </ns0:is>
      </ns0:c>
      <ns0:c r="D6" s="13" t="n">
        <ns0:v>1500</ns0:v>
      </ns0:c>
      <ns0:c r="E6" s="12" t="inlineStr">
        <ns0:is>
          <ns0:t>万元/项</ns0:t>
        </ns0:is>
      </ns0:c>
      <ns0:c r="F6" s="13">
        <ns0:f>B6*D6</ns0:f>
        <ns0:v>1500</ns0:v>
      </ns0:c>
    </ns0:row>
    <ns0:row r="7" ht="36" customHeight="1">
      <ns0:c r="A7" s="12" t="inlineStr">
        <ns0:is>
          <ns0:t>井口封闭与膜面恢复</ns0:t>
        </ns0:is>
      </ns0:c>
      <ns0:c r="B7" s="13" t="n">
        <ns0:v>1</ns0:v>
      </ns0:c>
      <ns0:c r="C7" s="12" t="inlineStr">
        <ns0:is>
          <ns0:t>项</ns0:t>
        </ns0:is>
      </ns0:c>
      <ns0:c r="D7" s="13" t="n">
        <ns0:v>600</ns0:v>
      </ns0:c>
      <ns0:c r="E7" s="12" t="inlineStr">
        <ns0:is>
          <ns0:t>万元/项</ns0:t>
        </ns0:is>
      </ns0:c>
      <ns0:c r="F7" s="13">
        <ns0:f>B7*D7</ns0:f>
        <ns0:v>600</ns0:v>
      </ns0:c>
    </ns0:row>
    <ns0:row r="8" ht="36" customHeight="1">
      <ns0:c r="A8" s="12" t="inlineStr">
        <ns0:is>
          <ns0:t>符合燃烧条件时的安全气体处理</ns0:t>
        </ns0:is>
      </ns0:c>
      <ns0:c r="B8" s="13" t="n">
        <ns0:v>1</ns0:v>
      </ns0:c>
      <ns0:c r="C8" s="12" t="inlineStr">
        <ns0:is>
          <ns0:t>项</ns0:t>
        </ns0:is>
      </ns0:c>
      <ns0:c r="D8" s="13" t="n">
        <ns0:v>150</ns0:v>
      </ns0:c>
      <ns0:c r="E8" s="12" t="inlineStr">
        <ns0:is>
          <ns0:t>万元/项</ns0:t>
        </ns0:is>
      </ns0:c>
      <ns0:c r="F8" s="13">
        <ns0:f>B8*D8</ns0:f>
        <ns0:v>150</ns0:v>
      </ns0:c>
    </ns0:row>
    <ns0:row r="9" ht="36" customHeight="1">
      <ns0:c r="A9" s="12" t="inlineStr">
        <ns0:is>
          <ns0:t>合计</ns0:t>
        </ns0:is>
      </ns0:c>
      <ns0:c r="B9" s="13" t="inlineStr"/>
      <ns0:c r="C9" s="12" t="inlineStr"/>
      <ns0:c r="D9" s="13" t="inlineStr"/>
      <ns0:c r="E9" s="12" t="inlineStr"/>
      <ns0:c r="F9" s="13">
        <ns0:f>SUM(F2:F8)</ns0:f>
        <ns0:v>8750</ns0:v>
      </ns0:c>
    </ns0:row>
  </ns0:sheetData>
  <ns0:autoFilter ref="A1:F9"/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A1:F8"/>
  <ns0:sheetViews>
    <ns0:sheetView showGridLines="0" workbookViewId="0">
      <ns0:pane xSplit="1" ySplit="1" topLeftCell="B2" activePane="bottomRight" state="frozen"/>
      <ns0:selection pane="topRight" activeCell="A1" sqref="A1"/>
      <ns0:selection pane="bottomLeft" activeCell="A1" sqref="A1"/>
      <ns0:selection pane="bottom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36" customWidth="1" min="3" max="3"/>
    <ns0:col width="18" customWidth="1" min="4" max="4"/>
    <ns0:col width="36" customWidth="1" min="5" max="5"/>
    <ns0:col width="18" customWidth="1" min="6" max="6"/>
  </ns0:cols>
  <ns0:sheetData>
    <ns0:row r="1">
      <ns0:c r="A1" s="11" t="inlineStr">
        <ns0:is>
          <ns0:t>费用</ns0:t>
        </ns0:is>
      </ns0:c>
      <ns0:c r="B1" s="11" t="inlineStr">
        <ns0:is>
          <ns0:t>数量（t）</ns0:t>
        </ns0:is>
      </ns0:c>
      <ns0:c r="C1" s="11" t="inlineStr">
        <ns0:is>
          <ns0:t>量价假设</ns0:t>
        </ns0:is>
      </ns0:c>
      <ns0:c r="D1" s="11" t="inlineStr">
        <ns0:is>
          <ns0:t>单价（元/t）</ns0:t>
        </ns0:is>
      </ns0:c>
      <ns0:c r="E1" s="11" t="inlineStr">
        <ns0:is>
          <ns0:t>责任说明</ns0:t>
        </ns0:is>
      </ns0:c>
      <ns0:c r="F1" s="11" t="inlineStr">
        <ns0:is>
          <ns0:t>金额（万元）</ns0:t>
        </ns0:is>
      </ns0:c>
    </ns0:row>
    <ns0:row r="2" ht="36" customHeight="1">
      <ns0:c r="A2" s="12" t="inlineStr">
        <ns0:is>
          <ns0:t>现状渗滤液</ns0:t>
        </ns0:is>
      </ns0:c>
      <ns0:c r="B2" s="13" t="n">
        <ns0:v>310250</ns0:v>
      </ns0:c>
      <ns0:c r="C2" s="12" t="inlineStr">
        <ns0:is>
          <ns0:t>5年×365天×170t/d</ns0:t>
        </ns0:is>
      </ns0:c>
      <ns0:c r="D2" s="13" t="n">
        <ns0:v>115</ns0:v>
      </ns0:c>
      <ns0:c r="E2" s="12" t="inlineStr">
        <ns0:is>
          <ns0:t>主体及真实合同核定</ns0:t>
        </ns0:is>
      </ns0:c>
      <ns0:c r="F2" s="13">
        <ns0:f>B2*D2/10000</ns0:f>
        <ns0:v>3567.875</ns0:v>
      </ns0:c>
    </ns0:row>
    <ns0:row r="3" ht="36" customHeight="1">
      <ns0:c r="A3" s="12" t="inlineStr">
        <ns0:is>
          <ns0:t>新增开挖水</ns0:t>
        </ns0:is>
      </ns0:c>
      <ns0:c r="B3" s="13" t="n">
        <ns0:v>171875</ns0:v>
      </ns0:c>
      <ns0:c r="C3" s="12" t="inlineStr">
        <ns0:is>
          <ns0:t>33月×250工作日/年×250t/d</ns0:t>
        </ns0:is>
      </ns0:c>
      <ns0:c r="D3" s="13" t="n">
        <ns0:v>160</ns0:v>
      </ns0:c>
      <ns0:c r="E3" s="12" t="inlineStr">
        <ns0:is>
          <ns0:t>主体及真实合同核定</ns0:t>
        </ns0:is>
      </ns0:c>
      <ns0:c r="F3" s="13">
        <ns0:f>B3*D3/10000</ns0:f>
        <ns0:v>2750.0</ns0:v>
      </ns0:c>
    </ns0:row>
    <ns0:row r="4" ht="36" customHeight="1">
      <ns0:c r="A4" s="12" t="inlineStr">
        <ns0:is>
          <ns0:t>额外积存水</ns0:t>
        </ns0:is>
      </ns0:c>
      <ns0:c r="B4" s="13" t="n">
        <ns0:v>40000</ns0:v>
      </ns0:c>
      <ns0:c r="C4" s="12" t="inlineStr">
        <ns0:is>
          <ns0:t>待实测且与现状流量分离</ns0:t>
        </ns0:is>
      </ns0:c>
      <ns0:c r="D4" s="13" t="n">
        <ns0:v>160</ns0:v>
      </ns0:c>
      <ns0:c r="E4" s="12" t="inlineStr">
        <ns0:is>
          <ns0:t>主体及真实合同核定</ns0:t>
        </ns0:is>
      </ns0:c>
      <ns0:c r="F4" s="13">
        <ns0:f>B4*D4/10000</ns0:f>
        <ns0:v>640.0</ns0:v>
      </ns0:c>
    </ns0:row>
    <ns0:row r="5" ht="36" customHeight="1">
      <ns0:c r="A5" s="12" t="inlineStr">
        <ns0:is>
          <ns0:t>现状浓缩液</ns0:t>
        </ns0:is>
      </ns0:c>
      <ns0:c r="B5" s="13" t="n">
        <ns0:v>36500</ns0:v>
      </ns0:c>
      <ns0:c r="C5" s="12" t="inlineStr">
        <ns0:is>
          <ns0:t>5年×365天×20t/d</ns0:t>
        </ns0:is>
      </ns0:c>
      <ns0:c r="D5" s="13" t="n">
        <ns0:v>300</ns0:v>
      </ns0:c>
      <ns0:c r="E5" s="12" t="inlineStr">
        <ns0:is>
          <ns0:t>主体及真实合同核定</ns0:t>
        </ns0:is>
      </ns0:c>
      <ns0:c r="F5" s="13">
        <ns0:f>B5*D5/10000</ns0:f>
        <ns0:v>1095.0</ns0:v>
      </ns0:c>
    </ns0:row>
    <ns0:row r="6" ht="36" customHeight="1">
      <ns0:c r="A6" s="12" t="inlineStr">
        <ns0:is>
          <ns0:t>新增浓缩液</ns0:t>
        </ns0:is>
      </ns0:c>
      <ns0:c r="B6" s="13" t="n">
        <ns0:v>34375</ns0:v>
      </ns0:c>
      <ns0:c r="C6" s="12" t="inlineStr">
        <ns0:is>
          <ns0:t>新增水×20%</ns0:t>
        </ns0:is>
      </ns0:c>
      <ns0:c r="D6" s="13" t="n">
        <ns0:v>300</ns0:v>
      </ns0:c>
      <ns0:c r="E6" s="12" t="inlineStr">
        <ns0:is>
          <ns0:t>主体及真实合同核定</ns0:t>
        </ns0:is>
      </ns0:c>
      <ns0:c r="F6" s="13">
        <ns0:f>B6*D6/10000</ns0:f>
        <ns0:v>1031.25</ns0:v>
      </ns0:c>
    </ns0:row>
    <ns0:row r="7" ht="36" customHeight="1">
      <ns0:c r="A7" s="12" t="inlineStr">
        <ns0:is>
          <ns0:t>积存水浓缩液</ns0:t>
        </ns0:is>
      </ns0:c>
      <ns0:c r="B7" s="13" t="n">
        <ns0:v>8000</ns0:v>
      </ns0:c>
      <ns0:c r="C7" s="12" t="inlineStr">
        <ns0:is>
          <ns0:t>积存水×20%</ns0:t>
        </ns0:is>
      </ns0:c>
      <ns0:c r="D7" s="13" t="n">
        <ns0:v>300</ns0:v>
      </ns0:c>
      <ns0:c r="E7" s="12" t="inlineStr">
        <ns0:is>
          <ns0:t>主体及真实合同核定</ns0:t>
        </ns0:is>
      </ns0:c>
      <ns0:c r="F7" s="13">
        <ns0:f>B7*D7/10000</ns0:f>
        <ns0:v>240.0</ns0:v>
      </ns0:c>
    </ns0:row>
    <ns0:row r="8" ht="36" customHeight="1">
      <ns0:c r="A8" s="12" t="inlineStr">
        <ns0:is>
          <ns0:t>合计</ns0:t>
        </ns0:is>
      </ns0:c>
      <ns0:c r="B8" s="13" t="inlineStr"/>
      <ns0:c r="C8" s="12" t="inlineStr"/>
      <ns0:c r="D8" s="13" t="inlineStr"/>
      <ns0:c r="E8" s="12" t="inlineStr"/>
      <ns0:c r="F8" s="13">
        <ns0:f>SUM(F2:F7)</ns0:f>
        <ns0:v>9324.125</ns0:v>
      </ns0:c>
    </ns0:row>
  </ns0:sheetData>
  <ns0:autoFilter ref="A1:F8"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2026-10-10T03:35:27Z</dcterms:created>
  <dcterms:modified xmlns:dcterms="http://purl.org/dc/terms/" xmlns:xsi="http://www.w3.org/2001/XMLSchema-instance" xsi:type="dcterms:W3CDTF">2026-10-10T04:01:11Z</dcterms:modified>
</cp:coreProperties>
</file>